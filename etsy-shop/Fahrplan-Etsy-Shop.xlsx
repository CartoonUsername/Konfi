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hrplan" sheetId="1" state="visible" r:id="rId3"/>
    <sheet name="Gewinn" sheetId="2" state="visible" r:id="rId4"/>
    <sheet name="Pro Produkt" sheetId="3" state="visible" r:id="rId5"/>
    <sheet name="Zahl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Mischung aus Einzelprodukten (8–17 €) und ein paar Paketen (34–49 €). Annahme.</t>
        </r>
      </text>
    </comment>
    <comment ref="B6" authorId="0">
      <text>
        <r>
          <rPr>
            <sz val="10"/>
            <rFont val="Arial"/>
            <family val="2"/>
          </rPr>
          <t xml:space="preserve">Etsy: 6,5 % vom Verkaufspreis (Stand 2026, bitte prüfen).</t>
        </r>
      </text>
    </comment>
    <comment ref="B7" authorId="0">
      <text>
        <r>
          <rPr>
            <sz val="10"/>
            <rFont val="Arial"/>
            <family val="2"/>
          </rPr>
          <t xml:space="preserve">Etsy Payments Deutschland: 4 % (Stand 2026, bitte prüfen).</t>
        </r>
      </text>
    </comment>
    <comment ref="B8" authorId="0">
      <text>
        <r>
          <rPr>
            <sz val="10"/>
            <rFont val="Arial"/>
            <family val="2"/>
          </rPr>
          <t xml:space="preserve">0,30 € pro Bestellung (Stand 2026, bitte prüfen).</t>
        </r>
      </text>
    </comment>
    <comment ref="B9" authorId="0">
      <text>
        <r>
          <rPr>
            <sz val="10"/>
            <rFont val="Arial"/>
            <family val="2"/>
          </rPr>
          <t xml:space="preserve">Nach jedem Verkauf erneuert Etsy das Angebot für 0,20 $ (ca. 0,18 €).</t>
        </r>
      </text>
    </comment>
    <comment ref="B10" authorId="0">
      <text>
        <r>
          <rPr>
            <sz val="10"/>
            <rFont val="Arial"/>
            <family val="2"/>
          </rPr>
          <t xml:space="preserve">Etsy berechnet deutschen Verkäufern 19 % MwSt. auf die Gebühren; als Kleinunternehmer bekommst du sie nicht zurück.</t>
        </r>
      </text>
    </comment>
    <comment ref="B11" authorId="0">
      <text>
        <r>
          <rPr>
            <sz val="10"/>
            <rFont val="Arial"/>
            <family val="2"/>
          </rPr>
          <t xml:space="preserve">Gewerbe ca. 20–60 € plus 29 × 0,20 $. Annahme.</t>
        </r>
      </text>
    </comment>
    <comment ref="B12" authorId="0">
      <text>
        <r>
          <rPr>
            <sz val="10"/>
            <rFont val="Arial"/>
            <family val="2"/>
          </rPr>
          <t xml:space="preserve">z. B. Higgsfield-Abo für neue Fotos oder Shopify (prüfen: Shopify Basic kostet ca. 27 € im Monat).</t>
        </r>
      </text>
    </comment>
    <comment ref="B13" authorId="0">
      <text>
        <r>
          <rPr>
            <sz val="10"/>
            <rFont val="Arial"/>
            <family val="2"/>
          </rPr>
          <t xml:space="preserve">Für den Zielrechner unten.</t>
        </r>
      </text>
    </comment>
    <comment ref="B22" authorId="0">
      <text>
        <r>
          <rPr>
            <sz val="10"/>
            <rFont val="Arial"/>
            <family val="2"/>
          </rPr>
          <t xml:space="preserve">2 % der Besucher kaufen: grober Erfahrungswert für Etsy, kann stark schwanken.</t>
        </r>
      </text>
    </comment>
  </commentList>
</comments>
</file>

<file path=xl/sharedStrings.xml><?xml version="1.0" encoding="utf-8"?>
<sst xmlns="http://schemas.openxmlformats.org/spreadsheetml/2006/main" count="231" uniqueCount="175">
  <si>
    <t xml:space="preserve">FAHRPLAN: VOM START BIS ZUM BOOM</t>
  </si>
  <si>
    <t xml:space="preserve">Gelbe Felder ausfüllen: Spalte F (Ja/Nein) und G (Datum). Kosten sind Schätzungen (Gewerbe 20–60 €, Etsy 0,20 $ pro Angebot, Werbung frei wählbar).</t>
  </si>
  <si>
    <t xml:space="preserve">Fortschritt:</t>
  </si>
  <si>
    <t xml:space="preserve">Phase</t>
  </si>
  <si>
    <t xml:space="preserve">Zeitraum</t>
  </si>
  <si>
    <t xml:space="preserve">Schritt</t>
  </si>
  <si>
    <t xml:space="preserve">Details</t>
  </si>
  <si>
    <t xml:space="preserve">Kosten (€)</t>
  </si>
  <si>
    <t xml:space="preserve">Erledigt</t>
  </si>
  <si>
    <t xml:space="preserve">Datum</t>
  </si>
  <si>
    <t xml:space="preserve">0 Grundlage</t>
  </si>
  <si>
    <t xml:space="preserve">Woche 1</t>
  </si>
  <si>
    <t xml:space="preserve">Gewerbe anmelden</t>
  </si>
  <si>
    <t xml:space="preserve">online beim Gewerbeamt, Kleinunternehmer ankreuzen</t>
  </si>
  <si>
    <t xml:space="preserve">Nein</t>
  </si>
  <si>
    <t xml:space="preserve">Steuernummer beantragen</t>
  </si>
  <si>
    <t xml:space="preserve">Fragebogen zur steuerlichen Erfassung über ELSTER</t>
  </si>
  <si>
    <t xml:space="preserve">Etsy-Shop eröffnen</t>
  </si>
  <si>
    <t xml:space="preserve">Ausweis, IBAN, Kreditkarte; Impressum eintragen</t>
  </si>
  <si>
    <t xml:space="preserve">Higgsfield-Lizenz prüfen</t>
  </si>
  <si>
    <t xml:space="preserve">erlaubt dein Tarif die kommerzielle Nutzung der Fotos?</t>
  </si>
  <si>
    <t xml:space="preserve">1 Start</t>
  </si>
  <si>
    <t xml:space="preserve">Woche 1–2</t>
  </si>
  <si>
    <t xml:space="preserve">29 Angebote auf Etsy einstellen</t>
  </si>
  <si>
    <t xml:space="preserve">Bilder, Texte (ETSY-TEXTE.md) und ZIPs sind fertig</t>
  </si>
  <si>
    <t xml:space="preserve">Widerruf für Downloads aktivieren</t>
  </si>
  <si>
    <t xml:space="preserve">Etsy-Einstellungen &gt; digitale Artikel</t>
  </si>
  <si>
    <t xml:space="preserve">Nachricht nach dem Kauf eintragen</t>
  </si>
  <si>
    <t xml:space="preserve">Text steht in ETSY-TEXTE.md</t>
  </si>
  <si>
    <t xml:space="preserve">Pinterest-Unternehmenskonto anlegen</t>
  </si>
  <si>
    <t xml:space="preserve">4–5 Pinnwände, Pins verlinken auf Etsy</t>
  </si>
  <si>
    <t xml:space="preserve">2–3 Pins pro Tag posten</t>
  </si>
  <si>
    <t xml:space="preserve">Texte in 00_Pin-Texte.md</t>
  </si>
  <si>
    <t xml:space="preserve">2 Erster Euro</t>
  </si>
  <si>
    <t xml:space="preserve">Woche 2–8</t>
  </si>
  <si>
    <t xml:space="preserve">Start-Rabatt 30 % für 2 Wochen</t>
  </si>
  <si>
    <t xml:space="preserve">Etsy &gt; Marketing &gt; Sonderangebote</t>
  </si>
  <si>
    <t xml:space="preserve">Etsy-Werbung testen</t>
  </si>
  <si>
    <t xml:space="preserve">1–2 € pro Tag für 2–3 Wochen</t>
  </si>
  <si>
    <t xml:space="preserve">Bewertungen sammeln</t>
  </si>
  <si>
    <t xml:space="preserve">nur über die Nachricht nach dem Kauf, nichts kaufen oder fälschen</t>
  </si>
  <si>
    <t xml:space="preserve">ERSTER VERKAUF</t>
  </si>
  <si>
    <t xml:space="preserve">Datum eintragen und feiern</t>
  </si>
  <si>
    <t xml:space="preserve">3 Verbessern</t>
  </si>
  <si>
    <t xml:space="preserve">Monat 2–4</t>
  </si>
  <si>
    <t xml:space="preserve">Statistik jede Woche ansehen</t>
  </si>
  <si>
    <t xml:space="preserve">Blatt „Zahlen“ ausfüllen, 15 Minuten</t>
  </si>
  <si>
    <t xml:space="preserve">Angebote ohne Aufrufe überarbeiten</t>
  </si>
  <si>
    <t xml:space="preserve">Titel und Tags ändern</t>
  </si>
  <si>
    <t xml:space="preserve">Angebote ohne Verkäufe überarbeiten</t>
  </si>
  <si>
    <t xml:space="preserve">erstes Bild oder Preis ändern</t>
  </si>
  <si>
    <t xml:space="preserve">Gewinner ausbauen</t>
  </si>
  <si>
    <t xml:space="preserve">3–5 Varianten vom Bestseller (Claude baut sie)</t>
  </si>
  <si>
    <t xml:space="preserve">4 Wachsen</t>
  </si>
  <si>
    <t xml:space="preserve">Monat 4–12</t>
  </si>
  <si>
    <t xml:space="preserve">Englische Versionen der Gewinner</t>
  </si>
  <si>
    <t xml:space="preserve">größerer Markt auf Etsy</t>
  </si>
  <si>
    <t xml:space="preserve">Shopify einschalten</t>
  </si>
  <si>
    <t xml:space="preserve">ab ca. 20 Verkäufen; Rechtstexte, Digital-Downloads-App</t>
  </si>
  <si>
    <t xml:space="preserve">Kostenlose Probe-Vorlage + E-Mail-Liste</t>
  </si>
  <si>
    <t xml:space="preserve">Pins führen dann zum eigenen Shop</t>
  </si>
  <si>
    <t xml:space="preserve">Canva Creators und Creative Market</t>
  </si>
  <si>
    <t xml:space="preserve">bewerben, Vorlagen sind vorhanden</t>
  </si>
  <si>
    <t xml:space="preserve">Kurze Videos ohne Gesicht</t>
  </si>
  <si>
    <t xml:space="preserve">Vorlagen zeigen auf TikTok und Instagram</t>
  </si>
  <si>
    <t xml:space="preserve">GEWINN-KALKULATION</t>
  </si>
  <si>
    <t xml:space="preserve">Gelbe Felder kannst du ändern, alles andere rechnet sich selbst. Die Verkaufszahlen sind Annahmen, keine Prognose. Keine Steuerberatung.</t>
  </si>
  <si>
    <t xml:space="preserve">ANNAHMEN</t>
  </si>
  <si>
    <t xml:space="preserve">Durchschnittlicher Preis pro Verkauf</t>
  </si>
  <si>
    <t xml:space="preserve">Etsy Transaktionsgebühr</t>
  </si>
  <si>
    <t xml:space="preserve">Etsy Zahlungsgebühr (%)</t>
  </si>
  <si>
    <t xml:space="preserve">Etsy Zahlungsgebühr (fix)</t>
  </si>
  <si>
    <t xml:space="preserve">Neu-Einstellgebühr pro Verkauf</t>
  </si>
  <si>
    <t xml:space="preserve">MwSt. auf Etsy-Gebühren</t>
  </si>
  <si>
    <t xml:space="preserve">Einmalkosten Start (Gewerbe + 29 Angebote)</t>
  </si>
  <si>
    <t xml:space="preserve">Feste Kosten pro Monat (z. B. Apps, Abo)</t>
  </si>
  <si>
    <t xml:space="preserve">Ziel-Gewinn pro Monat</t>
  </si>
  <si>
    <t xml:space="preserve">Gebühren pro Verkauf</t>
  </si>
  <si>
    <t xml:space="preserve">Bleibt pro Verkauf</t>
  </si>
  <si>
    <t xml:space="preserve">Das sind vom Preis</t>
  </si>
  <si>
    <t xml:space="preserve">ZIELRECHNER</t>
  </si>
  <si>
    <t xml:space="preserve">Verkäufe pro Monat für dein Ziel</t>
  </si>
  <si>
    <t xml:space="preserve">… das sind pro Tag etwa</t>
  </si>
  <si>
    <t xml:space="preserve">Bei 2 % Kaufrate brauchst du Aufrufe im Monat</t>
  </si>
  <si>
    <t xml:space="preserve">DIE ERSTEN 12 MONATE IN 3 SZENARIEN</t>
  </si>
  <si>
    <t xml:space="preserve">Monat</t>
  </si>
  <si>
    <t xml:space="preserve">Werbung (€)</t>
  </si>
  <si>
    <t xml:space="preserve">Verkäufe vorsichtig</t>
  </si>
  <si>
    <t xml:space="preserve">Verkäufe realistisch</t>
  </si>
  <si>
    <t xml:space="preserve">Verkäufe gut</t>
  </si>
  <si>
    <t xml:space="preserve">Gewinn vorsichtig</t>
  </si>
  <si>
    <t xml:space="preserve">Gewinn realistisch</t>
  </si>
  <si>
    <t xml:space="preserve">Gewinn gut</t>
  </si>
  <si>
    <t xml:space="preserve">Summe vorsichtig</t>
  </si>
  <si>
    <t xml:space="preserve">Summe realistisch</t>
  </si>
  <si>
    <t xml:space="preserve">Summe gut</t>
  </si>
  <si>
    <t xml:space="preserve">Jahr</t>
  </si>
  <si>
    <t xml:space="preserve">Ab Monat im Plus</t>
  </si>
  <si>
    <t xml:space="preserve">Monat 12: Gewinn pro Monat</t>
  </si>
  <si>
    <t xml:space="preserve">Die Verkäufe pro Monat sind Annahmen: vorsichtig = kaum Pinterest, realistisch = regelmäßig pinnen und Gewinner ausbauen, gut = englische Versionen und Shopify ab Monat 6. Ändere sie, sobald du echte Zahlen hast (Blatt „Zahlen“).</t>
  </si>
  <si>
    <t xml:space="preserve">GEWINN PRO PRODUKT</t>
  </si>
  <si>
    <t xml:space="preserve">Gebühren-Annahmen kommen aus dem Blatt „Gewinn“. Preise in Spalte C kannst du ändern.</t>
  </si>
  <si>
    <t xml:space="preserve">Nr.</t>
  </si>
  <si>
    <t xml:space="preserve">Produkt</t>
  </si>
  <si>
    <t xml:space="preserve">Preis</t>
  </si>
  <si>
    <t xml:space="preserve">Etsy-Gebühren</t>
  </si>
  <si>
    <t xml:space="preserve">Bleibt dir</t>
  </si>
  <si>
    <t xml:space="preserve">Anteil</t>
  </si>
  <si>
    <t xml:space="preserve">01</t>
  </si>
  <si>
    <t xml:space="preserve">UGC Starter-Kit auf Deutsch</t>
  </si>
  <si>
    <t xml:space="preserve">02</t>
  </si>
  <si>
    <t xml:space="preserve">Media-Kit Vorlage 1 Seite auf Deutsch</t>
  </si>
  <si>
    <t xml:space="preserve">03</t>
  </si>
  <si>
    <t xml:space="preserve">Preisliste Vorlage für Creator</t>
  </si>
  <si>
    <t xml:space="preserve">04</t>
  </si>
  <si>
    <t xml:space="preserve">Angebot Vorlage für Kooperationen</t>
  </si>
  <si>
    <t xml:space="preserve">05</t>
  </si>
  <si>
    <t xml:space="preserve">Rechnung Vorlage für Creator</t>
  </si>
  <si>
    <t xml:space="preserve">06</t>
  </si>
  <si>
    <t xml:space="preserve">Briefing Formular Vorlage für UGC Creator</t>
  </si>
  <si>
    <t xml:space="preserve">07</t>
  </si>
  <si>
    <t xml:space="preserve">UGC Portfolio Vorlage im Querformat</t>
  </si>
  <si>
    <t xml:space="preserve">08</t>
  </si>
  <si>
    <t xml:space="preserve">Link in Bio Vorlage auf Deutsch</t>
  </si>
  <si>
    <t xml:space="preserve">09</t>
  </si>
  <si>
    <t xml:space="preserve">Case Study Vorlage für UGC Creator</t>
  </si>
  <si>
    <t xml:space="preserve">10</t>
  </si>
  <si>
    <t xml:space="preserve">Content Planer Vorlage auf Deutsch</t>
  </si>
  <si>
    <t xml:space="preserve">11</t>
  </si>
  <si>
    <t xml:space="preserve">100 Hooks für Videos auf Deutsch</t>
  </si>
  <si>
    <t xml:space="preserve">12</t>
  </si>
  <si>
    <t xml:space="preserve">Skript Vorlage für UGC Videos</t>
  </si>
  <si>
    <t xml:space="preserve">13</t>
  </si>
  <si>
    <t xml:space="preserve">30 Instagram Post Vorlagen auf Deutsch</t>
  </si>
  <si>
    <t xml:space="preserve">14</t>
  </si>
  <si>
    <t xml:space="preserve">20 Instagram Story Vorlagen auf Deutsch</t>
  </si>
  <si>
    <t xml:space="preserve">15</t>
  </si>
  <si>
    <t xml:space="preserve">10 Reels Cover Vorlagen</t>
  </si>
  <si>
    <t xml:space="preserve">16</t>
  </si>
  <si>
    <t xml:space="preserve">Kooperations Tracker Vorlage</t>
  </si>
  <si>
    <t xml:space="preserve">17</t>
  </si>
  <si>
    <t xml:space="preserve">Finanzplaner für Creator auf Deutsch</t>
  </si>
  <si>
    <t xml:space="preserve">18</t>
  </si>
  <si>
    <t xml:space="preserve">Checklisten Set für Creator</t>
  </si>
  <si>
    <t xml:space="preserve">19</t>
  </si>
  <si>
    <t xml:space="preserve">Creator Komplettpaket</t>
  </si>
  <si>
    <t xml:space="preserve">20</t>
  </si>
  <si>
    <t xml:space="preserve">Content Paket für Creator</t>
  </si>
  <si>
    <t xml:space="preserve">21</t>
  </si>
  <si>
    <t xml:space="preserve">Preismenü Vorlage für Abo Creator</t>
  </si>
  <si>
    <t xml:space="preserve">22</t>
  </si>
  <si>
    <t xml:space="preserve">Willkommensnachrichten und DM Vorlagen für Abo Creator</t>
  </si>
  <si>
    <t xml:space="preserve">23</t>
  </si>
  <si>
    <t xml:space="preserve">Content Kalender für Abo Creator</t>
  </si>
  <si>
    <t xml:space="preserve">24</t>
  </si>
  <si>
    <t xml:space="preserve">12 Promo Posts für Abo Creator</t>
  </si>
  <si>
    <t xml:space="preserve">25</t>
  </si>
  <si>
    <t xml:space="preserve">Einnahmen Tracker für Abo Creator</t>
  </si>
  <si>
    <t xml:space="preserve">26</t>
  </si>
  <si>
    <t xml:space="preserve">Fan Umfragen und Wunschliste</t>
  </si>
  <si>
    <t xml:space="preserve">27</t>
  </si>
  <si>
    <t xml:space="preserve">Abo Creator Komplettpaket</t>
  </si>
  <si>
    <t xml:space="preserve">MEINE ZAHLEN PRO WOCHE</t>
  </si>
  <si>
    <t xml:space="preserve">Gelbe Felder aus der Etsy-Statistik abschreiben. Zeile 5 ist ein Beispiel, gern überschreiben. Gebühren: ca. 6,5 % Transaktion + 4 % Zahlung + 0,30 € pro Verkauf (Etsy Deutschland, Stand 2026, bitte prüfen).</t>
  </si>
  <si>
    <t xml:space="preserve">Woche ab</t>
  </si>
  <si>
    <t xml:space="preserve">Aufrufe</t>
  </si>
  <si>
    <t xml:space="preserve">Favoriten</t>
  </si>
  <si>
    <t xml:space="preserve">Verkäufe</t>
  </si>
  <si>
    <t xml:space="preserve">Umsatz (€)</t>
  </si>
  <si>
    <t xml:space="preserve">Gebühren ca. (€)</t>
  </si>
  <si>
    <t xml:space="preserve">Gewinn ca. (€)</t>
  </si>
  <si>
    <t xml:space="preserve">Kaufrate</t>
  </si>
  <si>
    <t xml:space="preserve">Gebühr %</t>
  </si>
  <si>
    <t xml:space="preserve">Gebühr pro Verkauf</t>
  </si>
  <si>
    <t xml:space="preserve">SUMME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</si>
</sst>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&quot; € Startkosten gesamt&quot;"/>
    <numFmt numFmtId="166" formatCode="0%"/>
    <numFmt numFmtId="167" formatCode="#,##0&quot; €&quot;;\-#,##0&quot; €&quot;;\-"/>
    <numFmt numFmtId="168" formatCode="dd\.mm\.yyyy"/>
    <numFmt numFmtId="169" formatCode="#,##0.00&quot; €&quot;;\-#,##0.00&quot; €&quot;;\-"/>
    <numFmt numFmtId="170" formatCode="0.0%"/>
    <numFmt numFmtId="171" formatCode="#,##0&quot; €&quot;;\-#,##0&quot; €&quot;;\-"/>
    <numFmt numFmtId="172" formatCode="#,##0"/>
    <numFmt numFmtId="173" formatCode="#,##0.0"/>
    <numFmt numFmtId="174" formatCode="#,##0.00&quot; €&quot;;\-#,##0.00&quot; €&quot;;\-"/>
    <numFmt numFmtId="175" formatCode="0.00&quot; €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6E62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9"/>
      <name val="Arial"/>
      <family val="0"/>
      <charset val="1"/>
    </font>
    <font>
      <sz val="11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2420"/>
        <bgColor rgb="FF333300"/>
      </patternFill>
    </fill>
    <fill>
      <patternFill patternType="solid">
        <fgColor rgb="FFF2EAE1"/>
        <bgColor rgb="FFECDED2"/>
      </patternFill>
    </fill>
    <fill>
      <patternFill patternType="solid">
        <fgColor rgb="FFFFF6B3"/>
        <bgColor rgb="FFFFFF99"/>
      </patternFill>
    </fill>
    <fill>
      <patternFill patternType="solid">
        <fgColor rgb="FFECDED2"/>
        <bgColor rgb="FFF2EAE1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1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strike val="1"/>
        <color rgb="FF5A6B50"/>
      </font>
      <fill>
        <patternFill>
          <bgColor rgb="FFD6EAD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8"/>
      <rgbColor rgb="FF5A6B50"/>
      <rgbColor rgb="FF9999FF"/>
      <rgbColor rgb="FF993366"/>
      <rgbColor rgb="FFFFF6B3"/>
      <rgbColor rgb="FFF2EAE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AD0"/>
      <rgbColor rgb="FFFFFF99"/>
      <rgbColor rgb="FF99CCFF"/>
      <rgbColor rgb="FFFF99CC"/>
      <rgbColor rgb="FFCC99FF"/>
      <rgbColor rgb="FFECDED2"/>
      <rgbColor rgb="FF3366FF"/>
      <rgbColor rgb="FF33CCCC"/>
      <rgbColor rgb="FF99CC00"/>
      <rgbColor rgb="FFFFCC00"/>
      <rgbColor rgb="FFFF9900"/>
      <rgbColor rgb="FFFF6600"/>
      <rgbColor rgb="FF6E62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4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3" min="3" style="1" width="36"/>
    <col collapsed="false" customWidth="true" hidden="false" outlineLevel="0" max="4" min="4" style="1" width="52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1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C3" s="4" t="str">
        <f aca="false">COUNTIF(F6:F27,"Ja")&amp;" von "&amp;COUNTA(C6:C27)&amp;" Schritten erledigt"</f>
        <v>0 von 22 Schritten erledigt</v>
      </c>
      <c r="E3" s="5" t="n">
        <f aca="false">SUM(E6:E27)</f>
        <v>76</v>
      </c>
      <c r="F3" s="6" t="n">
        <f aca="false">COUNTIF(F6:F27,"Ja")/COUNTA(C6:C27)</f>
        <v>0</v>
      </c>
    </row>
    <row r="5" customFormat="false" ht="15" hidden="false" customHeight="true" outlineLevel="0" collapsed="false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customFormat="false" ht="15" hidden="false" customHeight="true" outlineLevel="0" collapsed="false">
      <c r="A6" s="8" t="s">
        <v>10</v>
      </c>
      <c r="B6" s="8" t="s">
        <v>11</v>
      </c>
      <c r="C6" s="8" t="s">
        <v>12</v>
      </c>
      <c r="D6" s="8" t="s">
        <v>13</v>
      </c>
      <c r="E6" s="9" t="n">
        <v>40</v>
      </c>
      <c r="F6" s="10" t="s">
        <v>14</v>
      </c>
      <c r="G6" s="11"/>
    </row>
    <row r="7" customFormat="false" ht="15" hidden="false" customHeight="true" outlineLevel="0" collapsed="false">
      <c r="A7" s="8" t="s">
        <v>10</v>
      </c>
      <c r="B7" s="8" t="s">
        <v>11</v>
      </c>
      <c r="C7" s="8" t="s">
        <v>15</v>
      </c>
      <c r="D7" s="8" t="s">
        <v>16</v>
      </c>
      <c r="E7" s="9" t="n">
        <v>0</v>
      </c>
      <c r="F7" s="10" t="s">
        <v>14</v>
      </c>
      <c r="G7" s="11"/>
    </row>
    <row r="8" customFormat="false" ht="15" hidden="false" customHeight="true" outlineLevel="0" collapsed="false">
      <c r="A8" s="8" t="s">
        <v>10</v>
      </c>
      <c r="B8" s="8" t="s">
        <v>11</v>
      </c>
      <c r="C8" s="8" t="s">
        <v>17</v>
      </c>
      <c r="D8" s="8" t="s">
        <v>18</v>
      </c>
      <c r="E8" s="9" t="n">
        <v>0</v>
      </c>
      <c r="F8" s="10" t="s">
        <v>14</v>
      </c>
      <c r="G8" s="11"/>
    </row>
    <row r="9" customFormat="false" ht="15" hidden="false" customHeight="true" outlineLevel="0" collapsed="false">
      <c r="A9" s="8" t="s">
        <v>10</v>
      </c>
      <c r="B9" s="8" t="s">
        <v>11</v>
      </c>
      <c r="C9" s="8" t="s">
        <v>19</v>
      </c>
      <c r="D9" s="8" t="s">
        <v>20</v>
      </c>
      <c r="E9" s="9" t="n">
        <v>0</v>
      </c>
      <c r="F9" s="10" t="s">
        <v>14</v>
      </c>
      <c r="G9" s="11"/>
    </row>
    <row r="10" customFormat="false" ht="15" hidden="false" customHeight="true" outlineLevel="0" collapsed="false">
      <c r="A10" s="12" t="s">
        <v>21</v>
      </c>
      <c r="B10" s="12" t="s">
        <v>22</v>
      </c>
      <c r="C10" s="12" t="s">
        <v>23</v>
      </c>
      <c r="D10" s="12" t="s">
        <v>24</v>
      </c>
      <c r="E10" s="13" t="n">
        <v>6</v>
      </c>
      <c r="F10" s="10" t="s">
        <v>14</v>
      </c>
      <c r="G10" s="11"/>
    </row>
    <row r="11" customFormat="false" ht="15" hidden="false" customHeight="true" outlineLevel="0" collapsed="false">
      <c r="A11" s="12" t="s">
        <v>21</v>
      </c>
      <c r="B11" s="12" t="s">
        <v>22</v>
      </c>
      <c r="C11" s="12" t="s">
        <v>25</v>
      </c>
      <c r="D11" s="12" t="s">
        <v>26</v>
      </c>
      <c r="E11" s="13" t="n">
        <v>0</v>
      </c>
      <c r="F11" s="10" t="s">
        <v>14</v>
      </c>
      <c r="G11" s="11"/>
    </row>
    <row r="12" customFormat="false" ht="15" hidden="false" customHeight="true" outlineLevel="0" collapsed="false">
      <c r="A12" s="12" t="s">
        <v>21</v>
      </c>
      <c r="B12" s="12" t="s">
        <v>22</v>
      </c>
      <c r="C12" s="12" t="s">
        <v>27</v>
      </c>
      <c r="D12" s="12" t="s">
        <v>28</v>
      </c>
      <c r="E12" s="13" t="n">
        <v>0</v>
      </c>
      <c r="F12" s="10" t="s">
        <v>14</v>
      </c>
      <c r="G12" s="11"/>
    </row>
    <row r="13" customFormat="false" ht="15" hidden="false" customHeight="true" outlineLevel="0" collapsed="false">
      <c r="A13" s="12" t="s">
        <v>21</v>
      </c>
      <c r="B13" s="12" t="s">
        <v>22</v>
      </c>
      <c r="C13" s="12" t="s">
        <v>29</v>
      </c>
      <c r="D13" s="12" t="s">
        <v>30</v>
      </c>
      <c r="E13" s="13" t="n">
        <v>0</v>
      </c>
      <c r="F13" s="10" t="s">
        <v>14</v>
      </c>
      <c r="G13" s="11"/>
    </row>
    <row r="14" customFormat="false" ht="15" hidden="false" customHeight="true" outlineLevel="0" collapsed="false">
      <c r="A14" s="12" t="s">
        <v>21</v>
      </c>
      <c r="B14" s="12" t="s">
        <v>22</v>
      </c>
      <c r="C14" s="12" t="s">
        <v>31</v>
      </c>
      <c r="D14" s="12" t="s">
        <v>32</v>
      </c>
      <c r="E14" s="13" t="n">
        <v>0</v>
      </c>
      <c r="F14" s="10" t="s">
        <v>14</v>
      </c>
      <c r="G14" s="11"/>
    </row>
    <row r="15" customFormat="false" ht="15" hidden="false" customHeight="true" outlineLevel="0" collapsed="false">
      <c r="A15" s="8" t="s">
        <v>33</v>
      </c>
      <c r="B15" s="8" t="s">
        <v>34</v>
      </c>
      <c r="C15" s="8" t="s">
        <v>35</v>
      </c>
      <c r="D15" s="8" t="s">
        <v>36</v>
      </c>
      <c r="E15" s="9" t="n">
        <v>0</v>
      </c>
      <c r="F15" s="10" t="s">
        <v>14</v>
      </c>
      <c r="G15" s="11"/>
    </row>
    <row r="16" customFormat="false" ht="15" hidden="false" customHeight="true" outlineLevel="0" collapsed="false">
      <c r="A16" s="8" t="s">
        <v>33</v>
      </c>
      <c r="B16" s="8" t="s">
        <v>34</v>
      </c>
      <c r="C16" s="8" t="s">
        <v>37</v>
      </c>
      <c r="D16" s="8" t="s">
        <v>38</v>
      </c>
      <c r="E16" s="9" t="n">
        <v>30</v>
      </c>
      <c r="F16" s="10" t="s">
        <v>14</v>
      </c>
      <c r="G16" s="11"/>
    </row>
    <row r="17" customFormat="false" ht="23.25" hidden="false" customHeight="true" outlineLevel="0" collapsed="false">
      <c r="A17" s="8" t="s">
        <v>33</v>
      </c>
      <c r="B17" s="8" t="s">
        <v>34</v>
      </c>
      <c r="C17" s="8" t="s">
        <v>39</v>
      </c>
      <c r="D17" s="8" t="s">
        <v>40</v>
      </c>
      <c r="E17" s="9" t="n">
        <v>0</v>
      </c>
      <c r="F17" s="10" t="s">
        <v>14</v>
      </c>
      <c r="G17" s="11"/>
    </row>
    <row r="18" customFormat="false" ht="15" hidden="false" customHeight="true" outlineLevel="0" collapsed="false">
      <c r="A18" s="14" t="s">
        <v>33</v>
      </c>
      <c r="B18" s="14" t="s">
        <v>34</v>
      </c>
      <c r="C18" s="14" t="s">
        <v>41</v>
      </c>
      <c r="D18" s="14" t="s">
        <v>42</v>
      </c>
      <c r="E18" s="9" t="n">
        <v>0</v>
      </c>
      <c r="F18" s="10" t="s">
        <v>14</v>
      </c>
      <c r="G18" s="11"/>
    </row>
    <row r="19" customFormat="false" ht="15" hidden="false" customHeight="true" outlineLevel="0" collapsed="false">
      <c r="A19" s="12" t="s">
        <v>43</v>
      </c>
      <c r="B19" s="12" t="s">
        <v>44</v>
      </c>
      <c r="C19" s="12" t="s">
        <v>45</v>
      </c>
      <c r="D19" s="12" t="s">
        <v>46</v>
      </c>
      <c r="E19" s="13" t="n">
        <v>0</v>
      </c>
      <c r="F19" s="10" t="s">
        <v>14</v>
      </c>
      <c r="G19" s="11"/>
    </row>
    <row r="20" customFormat="false" ht="15" hidden="false" customHeight="true" outlineLevel="0" collapsed="false">
      <c r="A20" s="12" t="s">
        <v>43</v>
      </c>
      <c r="B20" s="12" t="s">
        <v>44</v>
      </c>
      <c r="C20" s="12" t="s">
        <v>47</v>
      </c>
      <c r="D20" s="12" t="s">
        <v>48</v>
      </c>
      <c r="E20" s="13" t="n">
        <v>0</v>
      </c>
      <c r="F20" s="10" t="s">
        <v>14</v>
      </c>
      <c r="G20" s="11"/>
    </row>
    <row r="21" customFormat="false" ht="15" hidden="false" customHeight="true" outlineLevel="0" collapsed="false">
      <c r="A21" s="12" t="s">
        <v>43</v>
      </c>
      <c r="B21" s="12" t="s">
        <v>44</v>
      </c>
      <c r="C21" s="12" t="s">
        <v>49</v>
      </c>
      <c r="D21" s="12" t="s">
        <v>50</v>
      </c>
      <c r="E21" s="13" t="n">
        <v>0</v>
      </c>
      <c r="F21" s="10" t="s">
        <v>14</v>
      </c>
      <c r="G21" s="11"/>
    </row>
    <row r="22" customFormat="false" ht="15" hidden="false" customHeight="true" outlineLevel="0" collapsed="false">
      <c r="A22" s="12" t="s">
        <v>43</v>
      </c>
      <c r="B22" s="12" t="s">
        <v>44</v>
      </c>
      <c r="C22" s="12" t="s">
        <v>51</v>
      </c>
      <c r="D22" s="12" t="s">
        <v>52</v>
      </c>
      <c r="E22" s="13" t="n">
        <v>0</v>
      </c>
      <c r="F22" s="10" t="s">
        <v>14</v>
      </c>
      <c r="G22" s="11"/>
    </row>
    <row r="23" customFormat="false" ht="15" hidden="false" customHeight="true" outlineLevel="0" collapsed="false">
      <c r="A23" s="8" t="s">
        <v>53</v>
      </c>
      <c r="B23" s="8" t="s">
        <v>54</v>
      </c>
      <c r="C23" s="8" t="s">
        <v>55</v>
      </c>
      <c r="D23" s="8" t="s">
        <v>56</v>
      </c>
      <c r="E23" s="9" t="n">
        <v>0</v>
      </c>
      <c r="F23" s="10" t="s">
        <v>14</v>
      </c>
      <c r="G23" s="11"/>
    </row>
    <row r="24" customFormat="false" ht="15" hidden="false" customHeight="true" outlineLevel="0" collapsed="false">
      <c r="A24" s="8" t="s">
        <v>53</v>
      </c>
      <c r="B24" s="8" t="s">
        <v>54</v>
      </c>
      <c r="C24" s="8" t="s">
        <v>57</v>
      </c>
      <c r="D24" s="8" t="s">
        <v>58</v>
      </c>
      <c r="E24" s="9" t="n">
        <v>0</v>
      </c>
      <c r="F24" s="10" t="s">
        <v>14</v>
      </c>
      <c r="G24" s="11"/>
    </row>
    <row r="25" customFormat="false" ht="15" hidden="false" customHeight="true" outlineLevel="0" collapsed="false">
      <c r="A25" s="8" t="s">
        <v>53</v>
      </c>
      <c r="B25" s="8" t="s">
        <v>54</v>
      </c>
      <c r="C25" s="8" t="s">
        <v>59</v>
      </c>
      <c r="D25" s="8" t="s">
        <v>60</v>
      </c>
      <c r="E25" s="9" t="n">
        <v>0</v>
      </c>
      <c r="F25" s="10" t="s">
        <v>14</v>
      </c>
      <c r="G25" s="11"/>
    </row>
    <row r="26" customFormat="false" ht="15" hidden="false" customHeight="true" outlineLevel="0" collapsed="false">
      <c r="A26" s="8" t="s">
        <v>53</v>
      </c>
      <c r="B26" s="8" t="s">
        <v>54</v>
      </c>
      <c r="C26" s="8" t="s">
        <v>61</v>
      </c>
      <c r="D26" s="8" t="s">
        <v>62</v>
      </c>
      <c r="E26" s="9" t="n">
        <v>0</v>
      </c>
      <c r="F26" s="10" t="s">
        <v>14</v>
      </c>
      <c r="G26" s="11"/>
    </row>
    <row r="27" customFormat="false" ht="15" hidden="false" customHeight="true" outlineLevel="0" collapsed="false">
      <c r="A27" s="8" t="s">
        <v>53</v>
      </c>
      <c r="B27" s="8" t="s">
        <v>54</v>
      </c>
      <c r="C27" s="8" t="s">
        <v>63</v>
      </c>
      <c r="D27" s="8" t="s">
        <v>64</v>
      </c>
      <c r="E27" s="9" t="n">
        <v>0</v>
      </c>
      <c r="F27" s="10" t="s">
        <v>14</v>
      </c>
      <c r="G27" s="11"/>
    </row>
  </sheetData>
  <conditionalFormatting sqref="A6:G27">
    <cfRule type="expression" priority="2" aboveAverage="0" equalAverage="0" bottom="0" percent="0" rank="0" text="" dxfId="0">
      <formula>$F6="Ja"</formula>
    </cfRule>
  </conditionalFormatting>
  <dataValidations count="1">
    <dataValidation allowBlank="true" errorStyle="stop" operator="between" showDropDown="false" showErrorMessage="false" showInputMessage="false" sqref="F6:F27" type="list">
      <formula1>"Ja,Nein"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3"/>
    <col collapsed="false" customWidth="true" hidden="false" outlineLevel="0" max="11" min="3" style="0" width="12"/>
  </cols>
  <sheetData>
    <row r="1" customFormat="false" ht="19.7" hidden="false" customHeight="false" outlineLevel="0" collapsed="false">
      <c r="A1" s="15" t="s">
        <v>65</v>
      </c>
    </row>
    <row r="2" customFormat="false" ht="15" hidden="false" customHeight="false" outlineLevel="0" collapsed="false">
      <c r="A2" s="16" t="s">
        <v>66</v>
      </c>
    </row>
    <row r="4" customFormat="false" ht="15" hidden="false" customHeight="false" outlineLevel="0" collapsed="false">
      <c r="A4" s="17" t="s">
        <v>67</v>
      </c>
    </row>
    <row r="5" customFormat="false" ht="15" hidden="false" customHeight="false" outlineLevel="0" collapsed="false">
      <c r="A5" s="18" t="s">
        <v>68</v>
      </c>
      <c r="B5" s="19" t="n">
        <v>14</v>
      </c>
    </row>
    <row r="6" customFormat="false" ht="15" hidden="false" customHeight="false" outlineLevel="0" collapsed="false">
      <c r="A6" s="18" t="s">
        <v>69</v>
      </c>
      <c r="B6" s="20" t="n">
        <v>0.065</v>
      </c>
    </row>
    <row r="7" customFormat="false" ht="15" hidden="false" customHeight="false" outlineLevel="0" collapsed="false">
      <c r="A7" s="18" t="s">
        <v>70</v>
      </c>
      <c r="B7" s="20" t="n">
        <v>0.04</v>
      </c>
    </row>
    <row r="8" customFormat="false" ht="15" hidden="false" customHeight="false" outlineLevel="0" collapsed="false">
      <c r="A8" s="18" t="s">
        <v>71</v>
      </c>
      <c r="B8" s="19" t="n">
        <v>0.3</v>
      </c>
    </row>
    <row r="9" customFormat="false" ht="15" hidden="false" customHeight="false" outlineLevel="0" collapsed="false">
      <c r="A9" s="18" t="s">
        <v>72</v>
      </c>
      <c r="B9" s="19" t="n">
        <v>0.18</v>
      </c>
    </row>
    <row r="10" customFormat="false" ht="15" hidden="false" customHeight="false" outlineLevel="0" collapsed="false">
      <c r="A10" s="18" t="s">
        <v>73</v>
      </c>
      <c r="B10" s="21" t="n">
        <v>0.19</v>
      </c>
    </row>
    <row r="11" customFormat="false" ht="15" hidden="false" customHeight="false" outlineLevel="0" collapsed="false">
      <c r="A11" s="18" t="s">
        <v>74</v>
      </c>
      <c r="B11" s="22" t="n">
        <v>46</v>
      </c>
    </row>
    <row r="12" customFormat="false" ht="15" hidden="false" customHeight="false" outlineLevel="0" collapsed="false">
      <c r="A12" s="18" t="s">
        <v>75</v>
      </c>
      <c r="B12" s="22" t="n">
        <v>0</v>
      </c>
    </row>
    <row r="13" customFormat="false" ht="15" hidden="false" customHeight="false" outlineLevel="0" collapsed="false">
      <c r="A13" s="18" t="s">
        <v>76</v>
      </c>
      <c r="B13" s="22" t="n">
        <v>500</v>
      </c>
    </row>
    <row r="15" customFormat="false" ht="15" hidden="false" customHeight="false" outlineLevel="0" collapsed="false">
      <c r="A15" s="23" t="s">
        <v>77</v>
      </c>
      <c r="B15" s="24" t="n">
        <f aca="false">(B5*(B6+B7)+B8+B9)*(1+B10)</f>
        <v>2.3205</v>
      </c>
    </row>
    <row r="16" customFormat="false" ht="15" hidden="false" customHeight="false" outlineLevel="0" collapsed="false">
      <c r="A16" s="23" t="s">
        <v>78</v>
      </c>
      <c r="B16" s="24" t="n">
        <f aca="false">B5-B15</f>
        <v>11.6795</v>
      </c>
    </row>
    <row r="17" customFormat="false" ht="15" hidden="false" customHeight="false" outlineLevel="0" collapsed="false">
      <c r="A17" s="23" t="s">
        <v>79</v>
      </c>
      <c r="B17" s="25" t="n">
        <f aca="false">IF(B5=0,0,B16/B5)</f>
        <v>0.83425</v>
      </c>
    </row>
    <row r="19" customFormat="false" ht="15" hidden="false" customHeight="false" outlineLevel="0" collapsed="false">
      <c r="A19" s="17" t="s">
        <v>80</v>
      </c>
    </row>
    <row r="20" customFormat="false" ht="15" hidden="false" customHeight="false" outlineLevel="0" collapsed="false">
      <c r="A20" s="18" t="s">
        <v>81</v>
      </c>
      <c r="B20" s="26" t="n">
        <f aca="false">IF(B16&lt;=0,"-",ROUNDUP((B13+B12)/B16,0))</f>
        <v>43</v>
      </c>
    </row>
    <row r="21" customFormat="false" ht="15" hidden="false" customHeight="false" outlineLevel="0" collapsed="false">
      <c r="A21" s="18" t="s">
        <v>82</v>
      </c>
      <c r="B21" s="27" t="n">
        <f aca="false">IF(B16&lt;=0,"-",ROUND(B20/30,1))</f>
        <v>1.4</v>
      </c>
    </row>
    <row r="22" customFormat="false" ht="15" hidden="false" customHeight="false" outlineLevel="0" collapsed="false">
      <c r="A22" s="18" t="s">
        <v>83</v>
      </c>
      <c r="B22" s="26" t="n">
        <f aca="false">IF(B16&lt;=0,"-",ROUNDUP(B20/0.02,0))</f>
        <v>2150</v>
      </c>
    </row>
    <row r="24" customFormat="false" ht="15" hidden="false" customHeight="false" outlineLevel="0" collapsed="false">
      <c r="A24" s="17" t="s">
        <v>84</v>
      </c>
    </row>
    <row r="25" customFormat="false" ht="30" hidden="false" customHeight="true" outlineLevel="0" collapsed="false">
      <c r="A25" s="28" t="s">
        <v>85</v>
      </c>
      <c r="B25" s="28" t="s">
        <v>86</v>
      </c>
      <c r="C25" s="28" t="s">
        <v>87</v>
      </c>
      <c r="D25" s="28" t="s">
        <v>88</v>
      </c>
      <c r="E25" s="28" t="s">
        <v>89</v>
      </c>
      <c r="F25" s="28" t="s">
        <v>90</v>
      </c>
      <c r="G25" s="28" t="s">
        <v>91</v>
      </c>
      <c r="H25" s="28" t="s">
        <v>92</v>
      </c>
      <c r="I25" s="28" t="s">
        <v>93</v>
      </c>
      <c r="J25" s="28" t="s">
        <v>94</v>
      </c>
      <c r="K25" s="28" t="s">
        <v>95</v>
      </c>
    </row>
    <row r="26" customFormat="false" ht="15" hidden="false" customHeight="false" outlineLevel="0" collapsed="false">
      <c r="A26" s="29" t="n">
        <v>1</v>
      </c>
      <c r="B26" s="30" t="n">
        <v>30</v>
      </c>
      <c r="C26" s="31" t="n">
        <v>0</v>
      </c>
      <c r="D26" s="31" t="n">
        <v>1</v>
      </c>
      <c r="E26" s="31" t="n">
        <v>2</v>
      </c>
      <c r="F26" s="32" t="n">
        <f aca="false">C26*$B$16-$B26-$B$12-$B$11</f>
        <v>-76</v>
      </c>
      <c r="G26" s="32" t="n">
        <f aca="false">D26*$B$16-$B26-$B$12-$B$11</f>
        <v>-64.3205</v>
      </c>
      <c r="H26" s="32" t="n">
        <f aca="false">E26*$B$16-$B26-$B$12-$B$11</f>
        <v>-52.641</v>
      </c>
      <c r="I26" s="33" t="n">
        <f aca="false">SUM(F$26:F26)</f>
        <v>-76</v>
      </c>
      <c r="J26" s="33" t="n">
        <f aca="false">SUM(G$26:G26)</f>
        <v>-64.3205</v>
      </c>
      <c r="K26" s="33" t="n">
        <f aca="false">SUM(H$26:H26)</f>
        <v>-52.641</v>
      </c>
    </row>
    <row r="27" customFormat="false" ht="15" hidden="false" customHeight="false" outlineLevel="0" collapsed="false">
      <c r="A27" s="29" t="n">
        <v>2</v>
      </c>
      <c r="B27" s="30" t="n">
        <v>30</v>
      </c>
      <c r="C27" s="31" t="n">
        <v>1</v>
      </c>
      <c r="D27" s="31" t="n">
        <v>3</v>
      </c>
      <c r="E27" s="31" t="n">
        <v>6</v>
      </c>
      <c r="F27" s="32" t="n">
        <f aca="false">C27*$B$16-$B27-$B$12</f>
        <v>-18.3205</v>
      </c>
      <c r="G27" s="32" t="n">
        <f aca="false">D27*$B$16-$B27-$B$12</f>
        <v>5.0385</v>
      </c>
      <c r="H27" s="32" t="n">
        <f aca="false">E27*$B$16-$B27-$B$12</f>
        <v>40.077</v>
      </c>
      <c r="I27" s="33" t="n">
        <f aca="false">SUM(F$26:F27)</f>
        <v>-94.3205</v>
      </c>
      <c r="J27" s="33" t="n">
        <f aca="false">SUM(G$26:G27)</f>
        <v>-59.282</v>
      </c>
      <c r="K27" s="33" t="n">
        <f aca="false">SUM(H$26:H27)</f>
        <v>-12.564</v>
      </c>
    </row>
    <row r="28" customFormat="false" ht="15" hidden="false" customHeight="false" outlineLevel="0" collapsed="false">
      <c r="A28" s="29" t="n">
        <v>3</v>
      </c>
      <c r="B28" s="30" t="n">
        <v>15</v>
      </c>
      <c r="C28" s="31" t="n">
        <v>2</v>
      </c>
      <c r="D28" s="31" t="n">
        <v>6</v>
      </c>
      <c r="E28" s="31" t="n">
        <v>12</v>
      </c>
      <c r="F28" s="32" t="n">
        <f aca="false">C28*$B$16-$B28-$B$12</f>
        <v>8.359</v>
      </c>
      <c r="G28" s="32" t="n">
        <f aca="false">D28*$B$16-$B28-$B$12</f>
        <v>55.077</v>
      </c>
      <c r="H28" s="32" t="n">
        <f aca="false">E28*$B$16-$B28-$B$12</f>
        <v>125.154</v>
      </c>
      <c r="I28" s="33" t="n">
        <f aca="false">SUM(F$26:F28)</f>
        <v>-85.9615</v>
      </c>
      <c r="J28" s="33" t="n">
        <f aca="false">SUM(G$26:G28)</f>
        <v>-4.205</v>
      </c>
      <c r="K28" s="33" t="n">
        <f aca="false">SUM(H$26:H28)</f>
        <v>112.59</v>
      </c>
    </row>
    <row r="29" customFormat="false" ht="15" hidden="false" customHeight="false" outlineLevel="0" collapsed="false">
      <c r="A29" s="29" t="n">
        <v>4</v>
      </c>
      <c r="B29" s="30" t="n">
        <v>15</v>
      </c>
      <c r="C29" s="31" t="n">
        <v>3</v>
      </c>
      <c r="D29" s="31" t="n">
        <v>10</v>
      </c>
      <c r="E29" s="31" t="n">
        <v>20</v>
      </c>
      <c r="F29" s="32" t="n">
        <f aca="false">C29*$B$16-$B29-$B$12</f>
        <v>20.0385</v>
      </c>
      <c r="G29" s="32" t="n">
        <f aca="false">D29*$B$16-$B29-$B$12</f>
        <v>101.795</v>
      </c>
      <c r="H29" s="32" t="n">
        <f aca="false">E29*$B$16-$B29-$B$12</f>
        <v>218.59</v>
      </c>
      <c r="I29" s="33" t="n">
        <f aca="false">SUM(F$26:F29)</f>
        <v>-65.923</v>
      </c>
      <c r="J29" s="33" t="n">
        <f aca="false">SUM(G$26:G29)</f>
        <v>97.59</v>
      </c>
      <c r="K29" s="33" t="n">
        <f aca="false">SUM(H$26:H29)</f>
        <v>331.18</v>
      </c>
    </row>
    <row r="30" customFormat="false" ht="15" hidden="false" customHeight="false" outlineLevel="0" collapsed="false">
      <c r="A30" s="29" t="n">
        <v>5</v>
      </c>
      <c r="B30" s="30" t="n">
        <v>15</v>
      </c>
      <c r="C30" s="31" t="n">
        <v>4</v>
      </c>
      <c r="D30" s="31" t="n">
        <v>14</v>
      </c>
      <c r="E30" s="31" t="n">
        <v>30</v>
      </c>
      <c r="F30" s="32" t="n">
        <f aca="false">C30*$B$16-$B30-$B$12</f>
        <v>31.718</v>
      </c>
      <c r="G30" s="32" t="n">
        <f aca="false">D30*$B$16-$B30-$B$12</f>
        <v>148.513</v>
      </c>
      <c r="H30" s="32" t="n">
        <f aca="false">E30*$B$16-$B30-$B$12</f>
        <v>335.385</v>
      </c>
      <c r="I30" s="33" t="n">
        <f aca="false">SUM(F$26:F30)</f>
        <v>-34.205</v>
      </c>
      <c r="J30" s="33" t="n">
        <f aca="false">SUM(G$26:G30)</f>
        <v>246.103</v>
      </c>
      <c r="K30" s="33" t="n">
        <f aca="false">SUM(H$26:H30)</f>
        <v>666.565</v>
      </c>
    </row>
    <row r="31" customFormat="false" ht="15" hidden="false" customHeight="false" outlineLevel="0" collapsed="false">
      <c r="A31" s="29" t="n">
        <v>6</v>
      </c>
      <c r="B31" s="30" t="n">
        <v>15</v>
      </c>
      <c r="C31" s="31" t="n">
        <v>5</v>
      </c>
      <c r="D31" s="31" t="n">
        <v>18</v>
      </c>
      <c r="E31" s="31" t="n">
        <v>40</v>
      </c>
      <c r="F31" s="32" t="n">
        <f aca="false">C31*$B$16-$B31-$B$12</f>
        <v>43.3975</v>
      </c>
      <c r="G31" s="32" t="n">
        <f aca="false">D31*$B$16-$B31-$B$12</f>
        <v>195.231</v>
      </c>
      <c r="H31" s="32" t="n">
        <f aca="false">E31*$B$16-$B31-$B$12</f>
        <v>452.18</v>
      </c>
      <c r="I31" s="33" t="n">
        <f aca="false">SUM(F$26:F31)</f>
        <v>9.19250000000001</v>
      </c>
      <c r="J31" s="33" t="n">
        <f aca="false">SUM(G$26:G31)</f>
        <v>441.334</v>
      </c>
      <c r="K31" s="33" t="n">
        <f aca="false">SUM(H$26:H31)</f>
        <v>1118.745</v>
      </c>
    </row>
    <row r="32" customFormat="false" ht="15" hidden="false" customHeight="false" outlineLevel="0" collapsed="false">
      <c r="A32" s="29" t="n">
        <v>7</v>
      </c>
      <c r="B32" s="30" t="n">
        <v>20</v>
      </c>
      <c r="C32" s="31" t="n">
        <v>6</v>
      </c>
      <c r="D32" s="31" t="n">
        <v>24</v>
      </c>
      <c r="E32" s="31" t="n">
        <v>55</v>
      </c>
      <c r="F32" s="32" t="n">
        <f aca="false">C32*$B$16-$B32-$B$12</f>
        <v>50.077</v>
      </c>
      <c r="G32" s="32" t="n">
        <f aca="false">D32*$B$16-$B32-$B$12</f>
        <v>260.308</v>
      </c>
      <c r="H32" s="32" t="n">
        <f aca="false">E32*$B$16-$B32-$B$12</f>
        <v>622.3725</v>
      </c>
      <c r="I32" s="33" t="n">
        <f aca="false">SUM(F$26:F32)</f>
        <v>59.2695</v>
      </c>
      <c r="J32" s="33" t="n">
        <f aca="false">SUM(G$26:G32)</f>
        <v>701.642</v>
      </c>
      <c r="K32" s="33" t="n">
        <f aca="false">SUM(H$26:H32)</f>
        <v>1741.1175</v>
      </c>
    </row>
    <row r="33" customFormat="false" ht="15" hidden="false" customHeight="false" outlineLevel="0" collapsed="false">
      <c r="A33" s="29" t="n">
        <v>8</v>
      </c>
      <c r="B33" s="30" t="n">
        <v>20</v>
      </c>
      <c r="C33" s="31" t="n">
        <v>7</v>
      </c>
      <c r="D33" s="31" t="n">
        <v>30</v>
      </c>
      <c r="E33" s="31" t="n">
        <v>70</v>
      </c>
      <c r="F33" s="32" t="n">
        <f aca="false">C33*$B$16-$B33-$B$12</f>
        <v>61.7565</v>
      </c>
      <c r="G33" s="32" t="n">
        <f aca="false">D33*$B$16-$B33-$B$12</f>
        <v>330.385</v>
      </c>
      <c r="H33" s="32" t="n">
        <f aca="false">E33*$B$16-$B33-$B$12</f>
        <v>797.565</v>
      </c>
      <c r="I33" s="33" t="n">
        <f aca="false">SUM(F$26:F33)</f>
        <v>121.026</v>
      </c>
      <c r="J33" s="33" t="n">
        <f aca="false">SUM(G$26:G33)</f>
        <v>1032.027</v>
      </c>
      <c r="K33" s="33" t="n">
        <f aca="false">SUM(H$26:H33)</f>
        <v>2538.6825</v>
      </c>
    </row>
    <row r="34" customFormat="false" ht="15" hidden="false" customHeight="false" outlineLevel="0" collapsed="false">
      <c r="A34" s="29" t="n">
        <v>9</v>
      </c>
      <c r="B34" s="30" t="n">
        <v>20</v>
      </c>
      <c r="C34" s="31" t="n">
        <v>8</v>
      </c>
      <c r="D34" s="31" t="n">
        <v>36</v>
      </c>
      <c r="E34" s="31" t="n">
        <v>85</v>
      </c>
      <c r="F34" s="32" t="n">
        <f aca="false">C34*$B$16-$B34-$B$12</f>
        <v>73.436</v>
      </c>
      <c r="G34" s="32" t="n">
        <f aca="false">D34*$B$16-$B34-$B$12</f>
        <v>400.462</v>
      </c>
      <c r="H34" s="32" t="n">
        <f aca="false">E34*$B$16-$B34-$B$12</f>
        <v>972.7575</v>
      </c>
      <c r="I34" s="33" t="n">
        <f aca="false">SUM(F$26:F34)</f>
        <v>194.462</v>
      </c>
      <c r="J34" s="33" t="n">
        <f aca="false">SUM(G$26:G34)</f>
        <v>1432.489</v>
      </c>
      <c r="K34" s="33" t="n">
        <f aca="false">SUM(H$26:H34)</f>
        <v>3511.44</v>
      </c>
    </row>
    <row r="35" customFormat="false" ht="15" hidden="false" customHeight="false" outlineLevel="0" collapsed="false">
      <c r="A35" s="29" t="n">
        <v>10</v>
      </c>
      <c r="B35" s="30" t="n">
        <v>20</v>
      </c>
      <c r="C35" s="31" t="n">
        <v>9</v>
      </c>
      <c r="D35" s="31" t="n">
        <v>42</v>
      </c>
      <c r="E35" s="31" t="n">
        <v>100</v>
      </c>
      <c r="F35" s="32" t="n">
        <f aca="false">C35*$B$16-$B35-$B$12</f>
        <v>85.1155</v>
      </c>
      <c r="G35" s="32" t="n">
        <f aca="false">D35*$B$16-$B35-$B$12</f>
        <v>470.539</v>
      </c>
      <c r="H35" s="32" t="n">
        <f aca="false">E35*$B$16-$B35-$B$12</f>
        <v>1147.95</v>
      </c>
      <c r="I35" s="33" t="n">
        <f aca="false">SUM(F$26:F35)</f>
        <v>279.5775</v>
      </c>
      <c r="J35" s="33" t="n">
        <f aca="false">SUM(G$26:G35)</f>
        <v>1903.028</v>
      </c>
      <c r="K35" s="33" t="n">
        <f aca="false">SUM(H$26:H35)</f>
        <v>4659.39</v>
      </c>
    </row>
    <row r="36" customFormat="false" ht="15" hidden="false" customHeight="false" outlineLevel="0" collapsed="false">
      <c r="A36" s="29" t="n">
        <v>11</v>
      </c>
      <c r="B36" s="30" t="n">
        <v>30</v>
      </c>
      <c r="C36" s="31" t="n">
        <v>10</v>
      </c>
      <c r="D36" s="31" t="n">
        <v>50</v>
      </c>
      <c r="E36" s="31" t="n">
        <v>120</v>
      </c>
      <c r="F36" s="32" t="n">
        <f aca="false">C36*$B$16-$B36-$B$12</f>
        <v>86.795</v>
      </c>
      <c r="G36" s="32" t="n">
        <f aca="false">D36*$B$16-$B36-$B$12</f>
        <v>553.975</v>
      </c>
      <c r="H36" s="32" t="n">
        <f aca="false">E36*$B$16-$B36-$B$12</f>
        <v>1371.54</v>
      </c>
      <c r="I36" s="33" t="n">
        <f aca="false">SUM(F$26:F36)</f>
        <v>366.3725</v>
      </c>
      <c r="J36" s="33" t="n">
        <f aca="false">SUM(G$26:G36)</f>
        <v>2457.003</v>
      </c>
      <c r="K36" s="33" t="n">
        <f aca="false">SUM(H$26:H36)</f>
        <v>6030.93</v>
      </c>
    </row>
    <row r="37" customFormat="false" ht="15" hidden="false" customHeight="false" outlineLevel="0" collapsed="false">
      <c r="A37" s="29" t="n">
        <v>12</v>
      </c>
      <c r="B37" s="30" t="n">
        <v>30</v>
      </c>
      <c r="C37" s="31" t="n">
        <v>12</v>
      </c>
      <c r="D37" s="31" t="n">
        <v>60</v>
      </c>
      <c r="E37" s="31" t="n">
        <v>140</v>
      </c>
      <c r="F37" s="32" t="n">
        <f aca="false">C37*$B$16-$B37-$B$12</f>
        <v>110.154</v>
      </c>
      <c r="G37" s="32" t="n">
        <f aca="false">D37*$B$16-$B37-$B$12</f>
        <v>670.77</v>
      </c>
      <c r="H37" s="32" t="n">
        <f aca="false">E37*$B$16-$B37-$B$12</f>
        <v>1605.13</v>
      </c>
      <c r="I37" s="33" t="n">
        <f aca="false">SUM(F$26:F37)</f>
        <v>476.5265</v>
      </c>
      <c r="J37" s="33" t="n">
        <f aca="false">SUM(G$26:G37)</f>
        <v>3127.773</v>
      </c>
      <c r="K37" s="33" t="n">
        <f aca="false">SUM(H$26:H37)</f>
        <v>7636.06</v>
      </c>
    </row>
    <row r="38" customFormat="false" ht="15" hidden="false" customHeight="false" outlineLevel="0" collapsed="false">
      <c r="A38" s="23" t="s">
        <v>96</v>
      </c>
      <c r="B38" s="34" t="n">
        <f aca="false">SUM(B26:B37)</f>
        <v>260</v>
      </c>
      <c r="C38" s="26" t="n">
        <f aca="false">SUM(C26:C37)</f>
        <v>67</v>
      </c>
      <c r="D38" s="26" t="n">
        <f aca="false">SUM(D26:D37)</f>
        <v>294</v>
      </c>
      <c r="E38" s="26" t="n">
        <f aca="false">SUM(E26:E37)</f>
        <v>680</v>
      </c>
      <c r="F38" s="34" t="n">
        <f aca="false">SUM(F26:F37)</f>
        <v>476.5265</v>
      </c>
      <c r="G38" s="34" t="n">
        <f aca="false">SUM(G26:G37)</f>
        <v>3127.773</v>
      </c>
      <c r="H38" s="34" t="n">
        <f aca="false">SUM(H26:H37)</f>
        <v>7636.06</v>
      </c>
    </row>
    <row r="40" customFormat="false" ht="15" hidden="false" customHeight="false" outlineLevel="0" collapsed="false">
      <c r="A40" s="23" t="s">
        <v>97</v>
      </c>
      <c r="I40" s="23" t="n">
        <f aca="false">IFERROR(MATCH(TRUE(),INDEX(I26:I37&gt;0,0),0),"nicht im 1. Jahr")</f>
        <v>6</v>
      </c>
      <c r="J40" s="23" t="n">
        <f aca="false">IFERROR(MATCH(TRUE(),INDEX(J26:J37&gt;0,0),0),"nicht im 1. Jahr")</f>
        <v>4</v>
      </c>
      <c r="K40" s="23" t="n">
        <f aca="false">IFERROR(MATCH(TRUE(),INDEX(K26:K37&gt;0,0),0),"nicht im 1. Jahr")</f>
        <v>3</v>
      </c>
    </row>
    <row r="41" customFormat="false" ht="15" hidden="false" customHeight="false" outlineLevel="0" collapsed="false">
      <c r="A41" s="23" t="s">
        <v>98</v>
      </c>
      <c r="I41" s="34" t="n">
        <f aca="false">F37</f>
        <v>110.154</v>
      </c>
      <c r="J41" s="34" t="n">
        <f aca="false">G37</f>
        <v>670.77</v>
      </c>
      <c r="K41" s="34" t="n">
        <f aca="false">H37</f>
        <v>1605.13</v>
      </c>
    </row>
    <row r="43" customFormat="false" ht="15" hidden="false" customHeight="false" outlineLevel="0" collapsed="false">
      <c r="A43" s="1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9"/>
  </cols>
  <sheetData>
    <row r="1" customFormat="false" ht="19.7" hidden="false" customHeight="false" outlineLevel="0" collapsed="false">
      <c r="A1" s="15" t="s">
        <v>100</v>
      </c>
    </row>
    <row r="2" customFormat="false" ht="15" hidden="false" customHeight="false" outlineLevel="0" collapsed="false">
      <c r="A2" s="16" t="s">
        <v>101</v>
      </c>
    </row>
    <row r="4" customFormat="false" ht="15" hidden="false" customHeight="false" outlineLevel="0" collapsed="false">
      <c r="A4" s="28" t="s">
        <v>102</v>
      </c>
      <c r="B4" s="28" t="s">
        <v>103</v>
      </c>
      <c r="C4" s="28" t="s">
        <v>104</v>
      </c>
      <c r="D4" s="28" t="s">
        <v>105</v>
      </c>
      <c r="E4" s="28" t="s">
        <v>106</v>
      </c>
      <c r="F4" s="28" t="s">
        <v>107</v>
      </c>
    </row>
    <row r="5" customFormat="false" ht="15" hidden="false" customHeight="false" outlineLevel="0" collapsed="false">
      <c r="A5" s="35" t="s">
        <v>108</v>
      </c>
      <c r="B5" s="35" t="s">
        <v>109</v>
      </c>
      <c r="C5" s="36" t="n">
        <v>14</v>
      </c>
      <c r="D5" s="37" t="n">
        <f aca="false">(C5*(Gewinn!$B$6+Gewinn!$B$7)+Gewinn!$B$8+Gewinn!$B$9)*(1+Gewinn!$B$10)</f>
        <v>2.3205</v>
      </c>
      <c r="E5" s="38" t="n">
        <f aca="false">C5-D5</f>
        <v>11.6795</v>
      </c>
      <c r="F5" s="39" t="n">
        <f aca="false">IF(C5=0,0,E5/C5)</f>
        <v>0.83425</v>
      </c>
    </row>
    <row r="6" customFormat="false" ht="15" hidden="false" customHeight="false" outlineLevel="0" collapsed="false">
      <c r="A6" s="35" t="s">
        <v>110</v>
      </c>
      <c r="B6" s="35" t="s">
        <v>111</v>
      </c>
      <c r="C6" s="36" t="n">
        <v>12</v>
      </c>
      <c r="D6" s="37" t="n">
        <f aca="false">(C6*(Gewinn!$B$6+Gewinn!$B$7)+Gewinn!$B$8+Gewinn!$B$9)*(1+Gewinn!$B$10)</f>
        <v>2.0706</v>
      </c>
      <c r="E6" s="38" t="n">
        <f aca="false">C6-D6</f>
        <v>9.9294</v>
      </c>
      <c r="F6" s="39" t="n">
        <f aca="false">IF(C6=0,0,E6/C6)</f>
        <v>0.82745</v>
      </c>
    </row>
    <row r="7" customFormat="false" ht="15" hidden="false" customHeight="false" outlineLevel="0" collapsed="false">
      <c r="A7" s="35" t="s">
        <v>112</v>
      </c>
      <c r="B7" s="35" t="s">
        <v>113</v>
      </c>
      <c r="C7" s="36" t="n">
        <v>10</v>
      </c>
      <c r="D7" s="37" t="n">
        <f aca="false">(C7*(Gewinn!$B$6+Gewinn!$B$7)+Gewinn!$B$8+Gewinn!$B$9)*(1+Gewinn!$B$10)</f>
        <v>1.8207</v>
      </c>
      <c r="E7" s="38" t="n">
        <f aca="false">C7-D7</f>
        <v>8.1793</v>
      </c>
      <c r="F7" s="39" t="n">
        <f aca="false">IF(C7=0,0,E7/C7)</f>
        <v>0.81793</v>
      </c>
    </row>
    <row r="8" customFormat="false" ht="15" hidden="false" customHeight="false" outlineLevel="0" collapsed="false">
      <c r="A8" s="35" t="s">
        <v>114</v>
      </c>
      <c r="B8" s="35" t="s">
        <v>115</v>
      </c>
      <c r="C8" s="36" t="n">
        <v>10</v>
      </c>
      <c r="D8" s="37" t="n">
        <f aca="false">(C8*(Gewinn!$B$6+Gewinn!$B$7)+Gewinn!$B$8+Gewinn!$B$9)*(1+Gewinn!$B$10)</f>
        <v>1.8207</v>
      </c>
      <c r="E8" s="38" t="n">
        <f aca="false">C8-D8</f>
        <v>8.1793</v>
      </c>
      <c r="F8" s="39" t="n">
        <f aca="false">IF(C8=0,0,E8/C8)</f>
        <v>0.81793</v>
      </c>
    </row>
    <row r="9" customFormat="false" ht="15" hidden="false" customHeight="false" outlineLevel="0" collapsed="false">
      <c r="A9" s="35" t="s">
        <v>116</v>
      </c>
      <c r="B9" s="35" t="s">
        <v>117</v>
      </c>
      <c r="C9" s="36" t="n">
        <v>9</v>
      </c>
      <c r="D9" s="37" t="n">
        <f aca="false">(C9*(Gewinn!$B$6+Gewinn!$B$7)+Gewinn!$B$8+Gewinn!$B$9)*(1+Gewinn!$B$10)</f>
        <v>1.69575</v>
      </c>
      <c r="E9" s="38" t="n">
        <f aca="false">C9-D9</f>
        <v>7.30425</v>
      </c>
      <c r="F9" s="39" t="n">
        <f aca="false">IF(C9=0,0,E9/C9)</f>
        <v>0.811583333333333</v>
      </c>
    </row>
    <row r="10" customFormat="false" ht="15" hidden="false" customHeight="false" outlineLevel="0" collapsed="false">
      <c r="A10" s="35" t="s">
        <v>118</v>
      </c>
      <c r="B10" s="35" t="s">
        <v>119</v>
      </c>
      <c r="C10" s="36" t="n">
        <v>9</v>
      </c>
      <c r="D10" s="37" t="n">
        <f aca="false">(C10*(Gewinn!$B$6+Gewinn!$B$7)+Gewinn!$B$8+Gewinn!$B$9)*(1+Gewinn!$B$10)</f>
        <v>1.69575</v>
      </c>
      <c r="E10" s="38" t="n">
        <f aca="false">C10-D10</f>
        <v>7.30425</v>
      </c>
      <c r="F10" s="39" t="n">
        <f aca="false">IF(C10=0,0,E10/C10)</f>
        <v>0.811583333333333</v>
      </c>
    </row>
    <row r="11" customFormat="false" ht="15" hidden="false" customHeight="false" outlineLevel="0" collapsed="false">
      <c r="A11" s="35" t="s">
        <v>120</v>
      </c>
      <c r="B11" s="35" t="s">
        <v>121</v>
      </c>
      <c r="C11" s="36" t="n">
        <v>15</v>
      </c>
      <c r="D11" s="37" t="n">
        <f aca="false">(C11*(Gewinn!$B$6+Gewinn!$B$7)+Gewinn!$B$8+Gewinn!$B$9)*(1+Gewinn!$B$10)</f>
        <v>2.44545</v>
      </c>
      <c r="E11" s="38" t="n">
        <f aca="false">C11-D11</f>
        <v>12.55455</v>
      </c>
      <c r="F11" s="39" t="n">
        <f aca="false">IF(C11=0,0,E11/C11)</f>
        <v>0.83697</v>
      </c>
    </row>
    <row r="12" customFormat="false" ht="15" hidden="false" customHeight="false" outlineLevel="0" collapsed="false">
      <c r="A12" s="35" t="s">
        <v>122</v>
      </c>
      <c r="B12" s="35" t="s">
        <v>123</v>
      </c>
      <c r="C12" s="36" t="n">
        <v>9</v>
      </c>
      <c r="D12" s="37" t="n">
        <f aca="false">(C12*(Gewinn!$B$6+Gewinn!$B$7)+Gewinn!$B$8+Gewinn!$B$9)*(1+Gewinn!$B$10)</f>
        <v>1.69575</v>
      </c>
      <c r="E12" s="38" t="n">
        <f aca="false">C12-D12</f>
        <v>7.30425</v>
      </c>
      <c r="F12" s="39" t="n">
        <f aca="false">IF(C12=0,0,E12/C12)</f>
        <v>0.811583333333333</v>
      </c>
    </row>
    <row r="13" customFormat="false" ht="15" hidden="false" customHeight="false" outlineLevel="0" collapsed="false">
      <c r="A13" s="35" t="s">
        <v>124</v>
      </c>
      <c r="B13" s="35" t="s">
        <v>125</v>
      </c>
      <c r="C13" s="36" t="n">
        <v>12</v>
      </c>
      <c r="D13" s="37" t="n">
        <f aca="false">(C13*(Gewinn!$B$6+Gewinn!$B$7)+Gewinn!$B$8+Gewinn!$B$9)*(1+Gewinn!$B$10)</f>
        <v>2.0706</v>
      </c>
      <c r="E13" s="38" t="n">
        <f aca="false">C13-D13</f>
        <v>9.9294</v>
      </c>
      <c r="F13" s="39" t="n">
        <f aca="false">IF(C13=0,0,E13/C13)</f>
        <v>0.82745</v>
      </c>
    </row>
    <row r="14" customFormat="false" ht="15" hidden="false" customHeight="false" outlineLevel="0" collapsed="false">
      <c r="A14" s="35" t="s">
        <v>126</v>
      </c>
      <c r="B14" s="35" t="s">
        <v>127</v>
      </c>
      <c r="C14" s="36" t="n">
        <v>10</v>
      </c>
      <c r="D14" s="37" t="n">
        <f aca="false">(C14*(Gewinn!$B$6+Gewinn!$B$7)+Gewinn!$B$8+Gewinn!$B$9)*(1+Gewinn!$B$10)</f>
        <v>1.8207</v>
      </c>
      <c r="E14" s="38" t="n">
        <f aca="false">C14-D14</f>
        <v>8.1793</v>
      </c>
      <c r="F14" s="39" t="n">
        <f aca="false">IF(C14=0,0,E14/C14)</f>
        <v>0.81793</v>
      </c>
    </row>
    <row r="15" customFormat="false" ht="15" hidden="false" customHeight="false" outlineLevel="0" collapsed="false">
      <c r="A15" s="35" t="s">
        <v>128</v>
      </c>
      <c r="B15" s="35" t="s">
        <v>129</v>
      </c>
      <c r="C15" s="36" t="n">
        <v>12</v>
      </c>
      <c r="D15" s="37" t="n">
        <f aca="false">(C15*(Gewinn!$B$6+Gewinn!$B$7)+Gewinn!$B$8+Gewinn!$B$9)*(1+Gewinn!$B$10)</f>
        <v>2.0706</v>
      </c>
      <c r="E15" s="38" t="n">
        <f aca="false">C15-D15</f>
        <v>9.9294</v>
      </c>
      <c r="F15" s="39" t="n">
        <f aca="false">IF(C15=0,0,E15/C15)</f>
        <v>0.82745</v>
      </c>
    </row>
    <row r="16" customFormat="false" ht="15" hidden="false" customHeight="false" outlineLevel="0" collapsed="false">
      <c r="A16" s="35" t="s">
        <v>130</v>
      </c>
      <c r="B16" s="35" t="s">
        <v>131</v>
      </c>
      <c r="C16" s="36" t="n">
        <v>9</v>
      </c>
      <c r="D16" s="37" t="n">
        <f aca="false">(C16*(Gewinn!$B$6+Gewinn!$B$7)+Gewinn!$B$8+Gewinn!$B$9)*(1+Gewinn!$B$10)</f>
        <v>1.69575</v>
      </c>
      <c r="E16" s="38" t="n">
        <f aca="false">C16-D16</f>
        <v>7.30425</v>
      </c>
      <c r="F16" s="39" t="n">
        <f aca="false">IF(C16=0,0,E16/C16)</f>
        <v>0.811583333333333</v>
      </c>
    </row>
    <row r="17" customFormat="false" ht="15" hidden="false" customHeight="false" outlineLevel="0" collapsed="false">
      <c r="A17" s="35" t="s">
        <v>132</v>
      </c>
      <c r="B17" s="35" t="s">
        <v>133</v>
      </c>
      <c r="C17" s="36" t="n">
        <v>17</v>
      </c>
      <c r="D17" s="37" t="n">
        <f aca="false">(C17*(Gewinn!$B$6+Gewinn!$B$7)+Gewinn!$B$8+Gewinn!$B$9)*(1+Gewinn!$B$10)</f>
        <v>2.69535</v>
      </c>
      <c r="E17" s="38" t="n">
        <f aca="false">C17-D17</f>
        <v>14.30465</v>
      </c>
      <c r="F17" s="39" t="n">
        <f aca="false">IF(C17=0,0,E17/C17)</f>
        <v>0.84145</v>
      </c>
    </row>
    <row r="18" customFormat="false" ht="15" hidden="false" customHeight="false" outlineLevel="0" collapsed="false">
      <c r="A18" s="35" t="s">
        <v>134</v>
      </c>
      <c r="B18" s="35" t="s">
        <v>135</v>
      </c>
      <c r="C18" s="36" t="n">
        <v>14</v>
      </c>
      <c r="D18" s="37" t="n">
        <f aca="false">(C18*(Gewinn!$B$6+Gewinn!$B$7)+Gewinn!$B$8+Gewinn!$B$9)*(1+Gewinn!$B$10)</f>
        <v>2.3205</v>
      </c>
      <c r="E18" s="38" t="n">
        <f aca="false">C18-D18</f>
        <v>11.6795</v>
      </c>
      <c r="F18" s="39" t="n">
        <f aca="false">IF(C18=0,0,E18/C18)</f>
        <v>0.83425</v>
      </c>
    </row>
    <row r="19" customFormat="false" ht="15" hidden="false" customHeight="false" outlineLevel="0" collapsed="false">
      <c r="A19" s="35" t="s">
        <v>136</v>
      </c>
      <c r="B19" s="35" t="s">
        <v>137</v>
      </c>
      <c r="C19" s="36" t="n">
        <v>9</v>
      </c>
      <c r="D19" s="37" t="n">
        <f aca="false">(C19*(Gewinn!$B$6+Gewinn!$B$7)+Gewinn!$B$8+Gewinn!$B$9)*(1+Gewinn!$B$10)</f>
        <v>1.69575</v>
      </c>
      <c r="E19" s="38" t="n">
        <f aca="false">C19-D19</f>
        <v>7.30425</v>
      </c>
      <c r="F19" s="39" t="n">
        <f aca="false">IF(C19=0,0,E19/C19)</f>
        <v>0.811583333333333</v>
      </c>
    </row>
    <row r="20" customFormat="false" ht="15" hidden="false" customHeight="false" outlineLevel="0" collapsed="false">
      <c r="A20" s="35" t="s">
        <v>138</v>
      </c>
      <c r="B20" s="35" t="s">
        <v>139</v>
      </c>
      <c r="C20" s="36" t="n">
        <v>10</v>
      </c>
      <c r="D20" s="37" t="n">
        <f aca="false">(C20*(Gewinn!$B$6+Gewinn!$B$7)+Gewinn!$B$8+Gewinn!$B$9)*(1+Gewinn!$B$10)</f>
        <v>1.8207</v>
      </c>
      <c r="E20" s="38" t="n">
        <f aca="false">C20-D20</f>
        <v>8.1793</v>
      </c>
      <c r="F20" s="39" t="n">
        <f aca="false">IF(C20=0,0,E20/C20)</f>
        <v>0.81793</v>
      </c>
    </row>
    <row r="21" customFormat="false" ht="15" hidden="false" customHeight="false" outlineLevel="0" collapsed="false">
      <c r="A21" s="35" t="s">
        <v>140</v>
      </c>
      <c r="B21" s="35" t="s">
        <v>141</v>
      </c>
      <c r="C21" s="36" t="n">
        <v>11</v>
      </c>
      <c r="D21" s="37" t="n">
        <f aca="false">(C21*(Gewinn!$B$6+Gewinn!$B$7)+Gewinn!$B$8+Gewinn!$B$9)*(1+Gewinn!$B$10)</f>
        <v>1.94565</v>
      </c>
      <c r="E21" s="38" t="n">
        <f aca="false">C21-D21</f>
        <v>9.05435</v>
      </c>
      <c r="F21" s="39" t="n">
        <f aca="false">IF(C21=0,0,E21/C21)</f>
        <v>0.823122727272727</v>
      </c>
    </row>
    <row r="22" customFormat="false" ht="15" hidden="false" customHeight="false" outlineLevel="0" collapsed="false">
      <c r="A22" s="35" t="s">
        <v>142</v>
      </c>
      <c r="B22" s="35" t="s">
        <v>143</v>
      </c>
      <c r="C22" s="36" t="n">
        <v>8</v>
      </c>
      <c r="D22" s="37" t="n">
        <f aca="false">(C22*(Gewinn!$B$6+Gewinn!$B$7)+Gewinn!$B$8+Gewinn!$B$9)*(1+Gewinn!$B$10)</f>
        <v>1.5708</v>
      </c>
      <c r="E22" s="38" t="n">
        <f aca="false">C22-D22</f>
        <v>6.4292</v>
      </c>
      <c r="F22" s="39" t="n">
        <f aca="false">IF(C22=0,0,E22/C22)</f>
        <v>0.80365</v>
      </c>
    </row>
    <row r="23" customFormat="false" ht="15" hidden="false" customHeight="false" outlineLevel="0" collapsed="false">
      <c r="A23" s="35" t="s">
        <v>144</v>
      </c>
      <c r="B23" s="35" t="s">
        <v>145</v>
      </c>
      <c r="C23" s="36" t="n">
        <v>49</v>
      </c>
      <c r="D23" s="37" t="n">
        <f aca="false">(C23*(Gewinn!$B$6+Gewinn!$B$7)+Gewinn!$B$8+Gewinn!$B$9)*(1+Gewinn!$B$10)</f>
        <v>6.69375</v>
      </c>
      <c r="E23" s="38" t="n">
        <f aca="false">C23-D23</f>
        <v>42.30625</v>
      </c>
      <c r="F23" s="39" t="n">
        <f aca="false">IF(C23=0,0,E23/C23)</f>
        <v>0.863392857142857</v>
      </c>
    </row>
    <row r="24" customFormat="false" ht="15" hidden="false" customHeight="false" outlineLevel="0" collapsed="false">
      <c r="A24" s="35" t="s">
        <v>146</v>
      </c>
      <c r="B24" s="35" t="s">
        <v>147</v>
      </c>
      <c r="C24" s="36" t="n">
        <v>34</v>
      </c>
      <c r="D24" s="37" t="n">
        <f aca="false">(C24*(Gewinn!$B$6+Gewinn!$B$7)+Gewinn!$B$8+Gewinn!$B$9)*(1+Gewinn!$B$10)</f>
        <v>4.8195</v>
      </c>
      <c r="E24" s="38" t="n">
        <f aca="false">C24-D24</f>
        <v>29.1805</v>
      </c>
      <c r="F24" s="39" t="n">
        <f aca="false">IF(C24=0,0,E24/C24)</f>
        <v>0.85825</v>
      </c>
    </row>
    <row r="25" customFormat="false" ht="15" hidden="false" customHeight="false" outlineLevel="0" collapsed="false">
      <c r="A25" s="35" t="s">
        <v>148</v>
      </c>
      <c r="B25" s="35" t="s">
        <v>149</v>
      </c>
      <c r="C25" s="36" t="n">
        <v>12</v>
      </c>
      <c r="D25" s="37" t="n">
        <f aca="false">(C25*(Gewinn!$B$6+Gewinn!$B$7)+Gewinn!$B$8+Gewinn!$B$9)*(1+Gewinn!$B$10)</f>
        <v>2.0706</v>
      </c>
      <c r="E25" s="38" t="n">
        <f aca="false">C25-D25</f>
        <v>9.9294</v>
      </c>
      <c r="F25" s="39" t="n">
        <f aca="false">IF(C25=0,0,E25/C25)</f>
        <v>0.82745</v>
      </c>
    </row>
    <row r="26" customFormat="false" ht="15" hidden="false" customHeight="false" outlineLevel="0" collapsed="false">
      <c r="A26" s="35" t="s">
        <v>150</v>
      </c>
      <c r="B26" s="35" t="s">
        <v>151</v>
      </c>
      <c r="C26" s="36" t="n">
        <v>12</v>
      </c>
      <c r="D26" s="37" t="n">
        <f aca="false">(C26*(Gewinn!$B$6+Gewinn!$B$7)+Gewinn!$B$8+Gewinn!$B$9)*(1+Gewinn!$B$10)</f>
        <v>2.0706</v>
      </c>
      <c r="E26" s="38" t="n">
        <f aca="false">C26-D26</f>
        <v>9.9294</v>
      </c>
      <c r="F26" s="39" t="n">
        <f aca="false">IF(C26=0,0,E26/C26)</f>
        <v>0.82745</v>
      </c>
    </row>
    <row r="27" customFormat="false" ht="15" hidden="false" customHeight="false" outlineLevel="0" collapsed="false">
      <c r="A27" s="35" t="s">
        <v>152</v>
      </c>
      <c r="B27" s="35" t="s">
        <v>153</v>
      </c>
      <c r="C27" s="36" t="n">
        <v>10</v>
      </c>
      <c r="D27" s="37" t="n">
        <f aca="false">(C27*(Gewinn!$B$6+Gewinn!$B$7)+Gewinn!$B$8+Gewinn!$B$9)*(1+Gewinn!$B$10)</f>
        <v>1.8207</v>
      </c>
      <c r="E27" s="38" t="n">
        <f aca="false">C27-D27</f>
        <v>8.1793</v>
      </c>
      <c r="F27" s="39" t="n">
        <f aca="false">IF(C27=0,0,E27/C27)</f>
        <v>0.81793</v>
      </c>
    </row>
    <row r="28" customFormat="false" ht="15" hidden="false" customHeight="false" outlineLevel="0" collapsed="false">
      <c r="A28" s="35" t="s">
        <v>154</v>
      </c>
      <c r="B28" s="35" t="s">
        <v>155</v>
      </c>
      <c r="C28" s="36" t="n">
        <v>14</v>
      </c>
      <c r="D28" s="37" t="n">
        <f aca="false">(C28*(Gewinn!$B$6+Gewinn!$B$7)+Gewinn!$B$8+Gewinn!$B$9)*(1+Gewinn!$B$10)</f>
        <v>2.3205</v>
      </c>
      <c r="E28" s="38" t="n">
        <f aca="false">C28-D28</f>
        <v>11.6795</v>
      </c>
      <c r="F28" s="39" t="n">
        <f aca="false">IF(C28=0,0,E28/C28)</f>
        <v>0.83425</v>
      </c>
    </row>
    <row r="29" customFormat="false" ht="15" hidden="false" customHeight="false" outlineLevel="0" collapsed="false">
      <c r="A29" s="35" t="s">
        <v>156</v>
      </c>
      <c r="B29" s="35" t="s">
        <v>157</v>
      </c>
      <c r="C29" s="36" t="n">
        <v>11</v>
      </c>
      <c r="D29" s="37" t="n">
        <f aca="false">(C29*(Gewinn!$B$6+Gewinn!$B$7)+Gewinn!$B$8+Gewinn!$B$9)*(1+Gewinn!$B$10)</f>
        <v>1.94565</v>
      </c>
      <c r="E29" s="38" t="n">
        <f aca="false">C29-D29</f>
        <v>9.05435</v>
      </c>
      <c r="F29" s="39" t="n">
        <f aca="false">IF(C29=0,0,E29/C29)</f>
        <v>0.823122727272727</v>
      </c>
    </row>
    <row r="30" customFormat="false" ht="15" hidden="false" customHeight="false" outlineLevel="0" collapsed="false">
      <c r="A30" s="35" t="s">
        <v>158</v>
      </c>
      <c r="B30" s="35" t="s">
        <v>159</v>
      </c>
      <c r="C30" s="36" t="n">
        <v>10</v>
      </c>
      <c r="D30" s="37" t="n">
        <f aca="false">(C30*(Gewinn!$B$6+Gewinn!$B$7)+Gewinn!$B$8+Gewinn!$B$9)*(1+Gewinn!$B$10)</f>
        <v>1.8207</v>
      </c>
      <c r="E30" s="38" t="n">
        <f aca="false">C30-D30</f>
        <v>8.1793</v>
      </c>
      <c r="F30" s="39" t="n">
        <f aca="false">IF(C30=0,0,E30/C30)</f>
        <v>0.81793</v>
      </c>
    </row>
    <row r="31" customFormat="false" ht="15" hidden="false" customHeight="false" outlineLevel="0" collapsed="false">
      <c r="A31" s="35" t="s">
        <v>160</v>
      </c>
      <c r="B31" s="35" t="s">
        <v>161</v>
      </c>
      <c r="C31" s="36" t="n">
        <v>35</v>
      </c>
      <c r="D31" s="37" t="n">
        <f aca="false">(C31*(Gewinn!$B$6+Gewinn!$B$7)+Gewinn!$B$8+Gewinn!$B$9)*(1+Gewinn!$B$10)</f>
        <v>4.94445</v>
      </c>
      <c r="E31" s="38" t="n">
        <f aca="false">C31-D31</f>
        <v>30.05555</v>
      </c>
      <c r="F31" s="39" t="n">
        <f aca="false">IF(C31=0,0,E31/C31)</f>
        <v>0.85873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0"/>
    <col collapsed="false" customWidth="true" hidden="false" outlineLevel="0" max="5" min="5" style="1" width="12"/>
    <col collapsed="false" customWidth="true" hidden="false" outlineLevel="0" max="6" min="6" style="1" width="15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2"/>
    <col collapsed="false" customWidth="true" hidden="false" outlineLevel="0" max="11" min="11" style="1" width="18"/>
    <col collapsed="false" customWidth="true" hidden="false" outlineLevel="0" max="12" min="12" style="1" width="9"/>
  </cols>
  <sheetData>
    <row r="1" customFormat="false" ht="19.5" hidden="false" customHeight="true" outlineLevel="0" collapsed="false">
      <c r="A1" s="2" t="s">
        <v>162</v>
      </c>
    </row>
    <row r="2" customFormat="false" ht="15" hidden="false" customHeight="true" outlineLevel="0" collapsed="false">
      <c r="A2" s="3" t="s">
        <v>163</v>
      </c>
    </row>
    <row r="4" customFormat="false" ht="15" hidden="false" customHeight="true" outlineLevel="0" collapsed="false">
      <c r="A4" s="40" t="s">
        <v>164</v>
      </c>
      <c r="B4" s="40" t="s">
        <v>165</v>
      </c>
      <c r="C4" s="40" t="s">
        <v>166</v>
      </c>
      <c r="D4" s="40" t="s">
        <v>167</v>
      </c>
      <c r="E4" s="40" t="s">
        <v>168</v>
      </c>
      <c r="F4" s="40" t="s">
        <v>169</v>
      </c>
      <c r="G4" s="40" t="s">
        <v>86</v>
      </c>
      <c r="H4" s="40" t="s">
        <v>170</v>
      </c>
      <c r="I4" s="40" t="s">
        <v>171</v>
      </c>
      <c r="K4" s="41" t="s">
        <v>172</v>
      </c>
      <c r="L4" s="42" t="n">
        <v>0.105</v>
      </c>
    </row>
    <row r="5" customFormat="false" ht="15" hidden="false" customHeight="true" outlineLevel="0" collapsed="false">
      <c r="A5" s="43" t="n">
        <v>46328</v>
      </c>
      <c r="B5" s="44" t="n">
        <v>120</v>
      </c>
      <c r="C5" s="44" t="n">
        <v>9</v>
      </c>
      <c r="D5" s="44" t="n">
        <v>1</v>
      </c>
      <c r="E5" s="45" t="n">
        <v>12</v>
      </c>
      <c r="F5" s="46" t="n">
        <f aca="false">IF(E5="","",E5*$L$4+D5*$L$5)</f>
        <v>1.56</v>
      </c>
      <c r="G5" s="45" t="n">
        <v>7</v>
      </c>
      <c r="H5" s="46" t="n">
        <f aca="false">IF(E5="","",E5-F5-G5)</f>
        <v>3.44</v>
      </c>
      <c r="I5" s="47" t="n">
        <f aca="false">IF(OR(B5="",B5=0),"",D5/B5)</f>
        <v>0.00833333333333333</v>
      </c>
      <c r="K5" s="41" t="s">
        <v>173</v>
      </c>
      <c r="L5" s="48" t="n">
        <v>0.3</v>
      </c>
    </row>
    <row r="6" customFormat="false" ht="15" hidden="false" customHeight="true" outlineLevel="0" collapsed="false">
      <c r="A6" s="11"/>
      <c r="B6" s="10"/>
      <c r="C6" s="10"/>
      <c r="D6" s="10"/>
      <c r="E6" s="49"/>
      <c r="F6" s="46" t="str">
        <f aca="false">IF(E6="","",E6*$L$4+D6*$L$5)</f>
        <v/>
      </c>
      <c r="G6" s="49"/>
      <c r="H6" s="46" t="str">
        <f aca="false">IF(E6="","",E6-F6-G6)</f>
        <v/>
      </c>
      <c r="I6" s="47" t="str">
        <f aca="false">IF(OR(B6="",B6=0),"",D6/B6)</f>
        <v/>
      </c>
    </row>
    <row r="7" customFormat="false" ht="15" hidden="false" customHeight="true" outlineLevel="0" collapsed="false">
      <c r="A7" s="11"/>
      <c r="B7" s="10"/>
      <c r="C7" s="10"/>
      <c r="D7" s="10"/>
      <c r="E7" s="49"/>
      <c r="F7" s="46" t="str">
        <f aca="false">IF(E7="","",E7*$L$4+D7*$L$5)</f>
        <v/>
      </c>
      <c r="G7" s="49"/>
      <c r="H7" s="46" t="str">
        <f aca="false">IF(E7="","",E7-F7-G7)</f>
        <v/>
      </c>
      <c r="I7" s="47" t="str">
        <f aca="false">IF(OR(B7="",B7=0),"",D7/B7)</f>
        <v/>
      </c>
    </row>
    <row r="8" customFormat="false" ht="15" hidden="false" customHeight="true" outlineLevel="0" collapsed="false">
      <c r="A8" s="11"/>
      <c r="B8" s="10"/>
      <c r="C8" s="10"/>
      <c r="D8" s="10"/>
      <c r="E8" s="49"/>
      <c r="F8" s="46" t="str">
        <f aca="false">IF(E8="","",E8*$L$4+D8*$L$5)</f>
        <v/>
      </c>
      <c r="G8" s="49"/>
      <c r="H8" s="46" t="str">
        <f aca="false">IF(E8="","",E8-F8-G8)</f>
        <v/>
      </c>
      <c r="I8" s="47" t="str">
        <f aca="false">IF(OR(B8="",B8=0),"",D8/B8)</f>
        <v/>
      </c>
    </row>
    <row r="9" customFormat="false" ht="15" hidden="false" customHeight="true" outlineLevel="0" collapsed="false">
      <c r="A9" s="11"/>
      <c r="B9" s="10"/>
      <c r="C9" s="10"/>
      <c r="D9" s="10"/>
      <c r="E9" s="49"/>
      <c r="F9" s="46" t="str">
        <f aca="false">IF(E9="","",E9*$L$4+D9*$L$5)</f>
        <v/>
      </c>
      <c r="G9" s="49"/>
      <c r="H9" s="46" t="str">
        <f aca="false">IF(E9="","",E9-F9-G9)</f>
        <v/>
      </c>
      <c r="I9" s="47" t="str">
        <f aca="false">IF(OR(B9="",B9=0),"",D9/B9)</f>
        <v/>
      </c>
    </row>
    <row r="10" customFormat="false" ht="15" hidden="false" customHeight="true" outlineLevel="0" collapsed="false">
      <c r="A10" s="11"/>
      <c r="B10" s="10"/>
      <c r="C10" s="10"/>
      <c r="D10" s="10"/>
      <c r="E10" s="49"/>
      <c r="F10" s="46" t="str">
        <f aca="false">IF(E10="","",E10*$L$4+D10*$L$5)</f>
        <v/>
      </c>
      <c r="G10" s="49"/>
      <c r="H10" s="46" t="str">
        <f aca="false">IF(E10="","",E10-F10-G10)</f>
        <v/>
      </c>
      <c r="I10" s="47" t="str">
        <f aca="false">IF(OR(B10="",B10=0),"",D10/B10)</f>
        <v/>
      </c>
    </row>
    <row r="11" customFormat="false" ht="15" hidden="false" customHeight="true" outlineLevel="0" collapsed="false">
      <c r="A11" s="11"/>
      <c r="B11" s="10"/>
      <c r="C11" s="10"/>
      <c r="D11" s="10"/>
      <c r="E11" s="49"/>
      <c r="F11" s="46" t="str">
        <f aca="false">IF(E11="","",E11*$L$4+D11*$L$5)</f>
        <v/>
      </c>
      <c r="G11" s="49"/>
      <c r="H11" s="46" t="str">
        <f aca="false">IF(E11="","",E11-F11-G11)</f>
        <v/>
      </c>
      <c r="I11" s="47" t="str">
        <f aca="false">IF(OR(B11="",B11=0),"",D11/B11)</f>
        <v/>
      </c>
    </row>
    <row r="12" customFormat="false" ht="15" hidden="false" customHeight="true" outlineLevel="0" collapsed="false">
      <c r="A12" s="11"/>
      <c r="B12" s="10"/>
      <c r="C12" s="10"/>
      <c r="D12" s="10"/>
      <c r="E12" s="49"/>
      <c r="F12" s="46" t="str">
        <f aca="false">IF(E12="","",E12*$L$4+D12*$L$5)</f>
        <v/>
      </c>
      <c r="G12" s="49"/>
      <c r="H12" s="46" t="str">
        <f aca="false">IF(E12="","",E12-F12-G12)</f>
        <v/>
      </c>
      <c r="I12" s="47" t="str">
        <f aca="false">IF(OR(B12="",B12=0),"",D12/B12)</f>
        <v/>
      </c>
    </row>
    <row r="13" customFormat="false" ht="15" hidden="false" customHeight="true" outlineLevel="0" collapsed="false">
      <c r="A13" s="11"/>
      <c r="B13" s="10"/>
      <c r="C13" s="10"/>
      <c r="D13" s="10"/>
      <c r="E13" s="49"/>
      <c r="F13" s="46" t="str">
        <f aca="false">IF(E13="","",E13*$L$4+D13*$L$5)</f>
        <v/>
      </c>
      <c r="G13" s="49"/>
      <c r="H13" s="46" t="str">
        <f aca="false">IF(E13="","",E13-F13-G13)</f>
        <v/>
      </c>
      <c r="I13" s="47" t="str">
        <f aca="false">IF(OR(B13="",B13=0),"",D13/B13)</f>
        <v/>
      </c>
    </row>
    <row r="14" customFormat="false" ht="15" hidden="false" customHeight="true" outlineLevel="0" collapsed="false">
      <c r="A14" s="11"/>
      <c r="B14" s="10"/>
      <c r="C14" s="10"/>
      <c r="D14" s="10"/>
      <c r="E14" s="49"/>
      <c r="F14" s="46" t="str">
        <f aca="false">IF(E14="","",E14*$L$4+D14*$L$5)</f>
        <v/>
      </c>
      <c r="G14" s="49"/>
      <c r="H14" s="46" t="str">
        <f aca="false">IF(E14="","",E14-F14-G14)</f>
        <v/>
      </c>
      <c r="I14" s="47" t="str">
        <f aca="false">IF(OR(B14="",B14=0),"",D14/B14)</f>
        <v/>
      </c>
    </row>
    <row r="15" customFormat="false" ht="15" hidden="false" customHeight="true" outlineLevel="0" collapsed="false">
      <c r="A15" s="11"/>
      <c r="B15" s="10"/>
      <c r="C15" s="10"/>
      <c r="D15" s="10"/>
      <c r="E15" s="49"/>
      <c r="F15" s="46" t="str">
        <f aca="false">IF(E15="","",E15*$L$4+D15*$L$5)</f>
        <v/>
      </c>
      <c r="G15" s="49"/>
      <c r="H15" s="46" t="str">
        <f aca="false">IF(E15="","",E15-F15-G15)</f>
        <v/>
      </c>
      <c r="I15" s="47" t="str">
        <f aca="false">IF(OR(B15="",B15=0),"",D15/B15)</f>
        <v/>
      </c>
    </row>
    <row r="16" customFormat="false" ht="15" hidden="false" customHeight="true" outlineLevel="0" collapsed="false">
      <c r="A16" s="11"/>
      <c r="B16" s="10"/>
      <c r="C16" s="10"/>
      <c r="D16" s="10"/>
      <c r="E16" s="49"/>
      <c r="F16" s="46" t="str">
        <f aca="false">IF(E16="","",E16*$L$4+D16*$L$5)</f>
        <v/>
      </c>
      <c r="G16" s="49"/>
      <c r="H16" s="46" t="str">
        <f aca="false">IF(E16="","",E16-F16-G16)</f>
        <v/>
      </c>
      <c r="I16" s="47" t="str">
        <f aca="false">IF(OR(B16="",B16=0),"",D16/B16)</f>
        <v/>
      </c>
    </row>
    <row r="17" customFormat="false" ht="15" hidden="false" customHeight="true" outlineLevel="0" collapsed="false">
      <c r="A17" s="11"/>
      <c r="B17" s="10"/>
      <c r="C17" s="10"/>
      <c r="D17" s="10"/>
      <c r="E17" s="49"/>
      <c r="F17" s="46" t="str">
        <f aca="false">IF(E17="","",E17*$L$4+D17*$L$5)</f>
        <v/>
      </c>
      <c r="G17" s="49"/>
      <c r="H17" s="46" t="str">
        <f aca="false">IF(E17="","",E17-F17-G17)</f>
        <v/>
      </c>
      <c r="I17" s="47" t="str">
        <f aca="false">IF(OR(B17="",B17=0),"",D17/B17)</f>
        <v/>
      </c>
    </row>
    <row r="18" customFormat="false" ht="15" hidden="false" customHeight="true" outlineLevel="0" collapsed="false">
      <c r="A18" s="11"/>
      <c r="B18" s="10"/>
      <c r="C18" s="10"/>
      <c r="D18" s="10"/>
      <c r="E18" s="49"/>
      <c r="F18" s="46" t="str">
        <f aca="false">IF(E18="","",E18*$L$4+D18*$L$5)</f>
        <v/>
      </c>
      <c r="G18" s="49"/>
      <c r="H18" s="46" t="str">
        <f aca="false">IF(E18="","",E18-F18-G18)</f>
        <v/>
      </c>
      <c r="I18" s="47" t="str">
        <f aca="false">IF(OR(B18="",B18=0),"",D18/B18)</f>
        <v/>
      </c>
    </row>
    <row r="19" customFormat="false" ht="15" hidden="false" customHeight="true" outlineLevel="0" collapsed="false">
      <c r="A19" s="11"/>
      <c r="B19" s="10"/>
      <c r="C19" s="10"/>
      <c r="D19" s="10"/>
      <c r="E19" s="49"/>
      <c r="F19" s="46" t="str">
        <f aca="false">IF(E19="","",E19*$L$4+D19*$L$5)</f>
        <v/>
      </c>
      <c r="G19" s="49"/>
      <c r="H19" s="46" t="str">
        <f aca="false">IF(E19="","",E19-F19-G19)</f>
        <v/>
      </c>
      <c r="I19" s="47" t="str">
        <f aca="false">IF(OR(B19="",B19=0),"",D19/B19)</f>
        <v/>
      </c>
    </row>
    <row r="20" customFormat="false" ht="15" hidden="false" customHeight="true" outlineLevel="0" collapsed="false">
      <c r="A20" s="11"/>
      <c r="B20" s="10"/>
      <c r="C20" s="10"/>
      <c r="D20" s="10"/>
      <c r="E20" s="49"/>
      <c r="F20" s="46" t="str">
        <f aca="false">IF(E20="","",E20*$L$4+D20*$L$5)</f>
        <v/>
      </c>
      <c r="G20" s="49"/>
      <c r="H20" s="46" t="str">
        <f aca="false">IF(E20="","",E20-F20-G20)</f>
        <v/>
      </c>
      <c r="I20" s="47" t="str">
        <f aca="false">IF(OR(B20="",B20=0),"",D20/B20)</f>
        <v/>
      </c>
    </row>
    <row r="21" customFormat="false" ht="15" hidden="false" customHeight="true" outlineLevel="0" collapsed="false">
      <c r="A21" s="11"/>
      <c r="B21" s="10"/>
      <c r="C21" s="10"/>
      <c r="D21" s="10"/>
      <c r="E21" s="49"/>
      <c r="F21" s="46" t="str">
        <f aca="false">IF(E21="","",E21*$L$4+D21*$L$5)</f>
        <v/>
      </c>
      <c r="G21" s="49"/>
      <c r="H21" s="46" t="str">
        <f aca="false">IF(E21="","",E21-F21-G21)</f>
        <v/>
      </c>
      <c r="I21" s="47" t="str">
        <f aca="false">IF(OR(B21="",B21=0),"",D21/B21)</f>
        <v/>
      </c>
    </row>
    <row r="22" customFormat="false" ht="15" hidden="false" customHeight="true" outlineLevel="0" collapsed="false">
      <c r="A22" s="11"/>
      <c r="B22" s="10"/>
      <c r="C22" s="10"/>
      <c r="D22" s="10"/>
      <c r="E22" s="49"/>
      <c r="F22" s="46" t="str">
        <f aca="false">IF(E22="","",E22*$L$4+D22*$L$5)</f>
        <v/>
      </c>
      <c r="G22" s="49"/>
      <c r="H22" s="46" t="str">
        <f aca="false">IF(E22="","",E22-F22-G22)</f>
        <v/>
      </c>
      <c r="I22" s="47" t="str">
        <f aca="false">IF(OR(B22="",B22=0),"",D22/B22)</f>
        <v/>
      </c>
    </row>
    <row r="23" customFormat="false" ht="15" hidden="false" customHeight="true" outlineLevel="0" collapsed="false">
      <c r="A23" s="11"/>
      <c r="B23" s="10"/>
      <c r="C23" s="10"/>
      <c r="D23" s="10"/>
      <c r="E23" s="49"/>
      <c r="F23" s="46" t="str">
        <f aca="false">IF(E23="","",E23*$L$4+D23*$L$5)</f>
        <v/>
      </c>
      <c r="G23" s="49"/>
      <c r="H23" s="46" t="str">
        <f aca="false">IF(E23="","",E23-F23-G23)</f>
        <v/>
      </c>
      <c r="I23" s="47" t="str">
        <f aca="false">IF(OR(B23="",B23=0),"",D23/B23)</f>
        <v/>
      </c>
    </row>
    <row r="24" customFormat="false" ht="15" hidden="false" customHeight="true" outlineLevel="0" collapsed="false">
      <c r="A24" s="11"/>
      <c r="B24" s="10"/>
      <c r="C24" s="10"/>
      <c r="D24" s="10"/>
      <c r="E24" s="49"/>
      <c r="F24" s="46" t="str">
        <f aca="false">IF(E24="","",E24*$L$4+D24*$L$5)</f>
        <v/>
      </c>
      <c r="G24" s="49"/>
      <c r="H24" s="46" t="str">
        <f aca="false">IF(E24="","",E24-F24-G24)</f>
        <v/>
      </c>
      <c r="I24" s="47" t="str">
        <f aca="false">IF(OR(B24="",B24=0),"",D24/B24)</f>
        <v/>
      </c>
    </row>
    <row r="25" customFormat="false" ht="15" hidden="false" customHeight="true" outlineLevel="0" collapsed="false">
      <c r="A25" s="11"/>
      <c r="B25" s="10"/>
      <c r="C25" s="10"/>
      <c r="D25" s="10"/>
      <c r="E25" s="49"/>
      <c r="F25" s="46" t="str">
        <f aca="false">IF(E25="","",E25*$L$4+D25*$L$5)</f>
        <v/>
      </c>
      <c r="G25" s="49"/>
      <c r="H25" s="46" t="str">
        <f aca="false">IF(E25="","",E25-F25-G25)</f>
        <v/>
      </c>
      <c r="I25" s="47" t="str">
        <f aca="false">IF(OR(B25="",B25=0),"",D25/B25)</f>
        <v/>
      </c>
    </row>
    <row r="26" customFormat="false" ht="15" hidden="false" customHeight="true" outlineLevel="0" collapsed="false">
      <c r="A26" s="11"/>
      <c r="B26" s="10"/>
      <c r="C26" s="10"/>
      <c r="D26" s="10"/>
      <c r="E26" s="49"/>
      <c r="F26" s="46" t="str">
        <f aca="false">IF(E26="","",E26*$L$4+D26*$L$5)</f>
        <v/>
      </c>
      <c r="G26" s="49"/>
      <c r="H26" s="46" t="str">
        <f aca="false">IF(E26="","",E26-F26-G26)</f>
        <v/>
      </c>
      <c r="I26" s="47" t="str">
        <f aca="false">IF(OR(B26="",B26=0),"",D26/B26)</f>
        <v/>
      </c>
    </row>
    <row r="27" customFormat="false" ht="15" hidden="false" customHeight="true" outlineLevel="0" collapsed="false">
      <c r="A27" s="11"/>
      <c r="B27" s="10"/>
      <c r="C27" s="10"/>
      <c r="D27" s="10"/>
      <c r="E27" s="49"/>
      <c r="F27" s="46" t="str">
        <f aca="false">IF(E27="","",E27*$L$4+D27*$L$5)</f>
        <v/>
      </c>
      <c r="G27" s="49"/>
      <c r="H27" s="46" t="str">
        <f aca="false">IF(E27="","",E27-F27-G27)</f>
        <v/>
      </c>
      <c r="I27" s="47" t="str">
        <f aca="false">IF(OR(B27="",B27=0),"",D27/B27)</f>
        <v/>
      </c>
    </row>
    <row r="28" customFormat="false" ht="15" hidden="false" customHeight="true" outlineLevel="0" collapsed="false">
      <c r="A28" s="11"/>
      <c r="B28" s="10"/>
      <c r="C28" s="10"/>
      <c r="D28" s="10"/>
      <c r="E28" s="49"/>
      <c r="F28" s="46" t="str">
        <f aca="false">IF(E28="","",E28*$L$4+D28*$L$5)</f>
        <v/>
      </c>
      <c r="G28" s="49"/>
      <c r="H28" s="46" t="str">
        <f aca="false">IF(E28="","",E28-F28-G28)</f>
        <v/>
      </c>
      <c r="I28" s="47" t="str">
        <f aca="false">IF(OR(B28="",B28=0),"",D28/B28)</f>
        <v/>
      </c>
    </row>
    <row r="29" customFormat="false" ht="15" hidden="false" customHeight="true" outlineLevel="0" collapsed="false">
      <c r="A29" s="11"/>
      <c r="B29" s="10"/>
      <c r="C29" s="10"/>
      <c r="D29" s="10"/>
      <c r="E29" s="49"/>
      <c r="F29" s="46" t="str">
        <f aca="false">IF(E29="","",E29*$L$4+D29*$L$5)</f>
        <v/>
      </c>
      <c r="G29" s="49"/>
      <c r="H29" s="46" t="str">
        <f aca="false">IF(E29="","",E29-F29-G29)</f>
        <v/>
      </c>
      <c r="I29" s="47" t="str">
        <f aca="false">IF(OR(B29="",B29=0),"",D29/B29)</f>
        <v/>
      </c>
    </row>
    <row r="30" customFormat="false" ht="15" hidden="false" customHeight="true" outlineLevel="0" collapsed="false">
      <c r="A30" s="11"/>
      <c r="B30" s="10"/>
      <c r="C30" s="10"/>
      <c r="D30" s="10"/>
      <c r="E30" s="49"/>
      <c r="F30" s="46" t="str">
        <f aca="false">IF(E30="","",E30*$L$4+D30*$L$5)</f>
        <v/>
      </c>
      <c r="G30" s="49"/>
      <c r="H30" s="46" t="str">
        <f aca="false">IF(E30="","",E30-F30-G30)</f>
        <v/>
      </c>
      <c r="I30" s="47" t="str">
        <f aca="false">IF(OR(B30="",B30=0),"",D30/B30)</f>
        <v/>
      </c>
    </row>
    <row r="31" customFormat="false" ht="15" hidden="false" customHeight="true" outlineLevel="0" collapsed="false">
      <c r="A31" s="11"/>
      <c r="B31" s="10"/>
      <c r="C31" s="10"/>
      <c r="D31" s="10"/>
      <c r="E31" s="49"/>
      <c r="F31" s="46" t="str">
        <f aca="false">IF(E31="","",E31*$L$4+D31*$L$5)</f>
        <v/>
      </c>
      <c r="G31" s="49"/>
      <c r="H31" s="46" t="str">
        <f aca="false">IF(E31="","",E31-F31-G31)</f>
        <v/>
      </c>
      <c r="I31" s="47" t="str">
        <f aca="false">IF(OR(B31="",B31=0),"",D31/B31)</f>
        <v/>
      </c>
    </row>
    <row r="32" customFormat="false" ht="15" hidden="false" customHeight="true" outlineLevel="0" collapsed="false">
      <c r="A32" s="11"/>
      <c r="B32" s="10"/>
      <c r="C32" s="10"/>
      <c r="D32" s="10"/>
      <c r="E32" s="49"/>
      <c r="F32" s="46" t="str">
        <f aca="false">IF(E32="","",E32*$L$4+D32*$L$5)</f>
        <v/>
      </c>
      <c r="G32" s="49"/>
      <c r="H32" s="46" t="str">
        <f aca="false">IF(E32="","",E32-F32-G32)</f>
        <v/>
      </c>
      <c r="I32" s="47" t="str">
        <f aca="false">IF(OR(B32="",B32=0),"",D32/B32)</f>
        <v/>
      </c>
    </row>
    <row r="33" customFormat="false" ht="15" hidden="false" customHeight="true" outlineLevel="0" collapsed="false">
      <c r="A33" s="11"/>
      <c r="B33" s="10"/>
      <c r="C33" s="10"/>
      <c r="D33" s="10"/>
      <c r="E33" s="49"/>
      <c r="F33" s="46" t="str">
        <f aca="false">IF(E33="","",E33*$L$4+D33*$L$5)</f>
        <v/>
      </c>
      <c r="G33" s="49"/>
      <c r="H33" s="46" t="str">
        <f aca="false">IF(E33="","",E33-F33-G33)</f>
        <v/>
      </c>
      <c r="I33" s="47" t="str">
        <f aca="false">IF(OR(B33="",B33=0),"",D33/B33)</f>
        <v/>
      </c>
    </row>
    <row r="34" customFormat="false" ht="15" hidden="false" customHeight="true" outlineLevel="0" collapsed="false">
      <c r="A34" s="11"/>
      <c r="B34" s="10"/>
      <c r="C34" s="10"/>
      <c r="D34" s="10"/>
      <c r="E34" s="49"/>
      <c r="F34" s="46" t="str">
        <f aca="false">IF(E34="","",E34*$L$4+D34*$L$5)</f>
        <v/>
      </c>
      <c r="G34" s="49"/>
      <c r="H34" s="46" t="str">
        <f aca="false">IF(E34="","",E34-F34-G34)</f>
        <v/>
      </c>
      <c r="I34" s="47" t="str">
        <f aca="false">IF(OR(B34="",B34=0),"",D34/B34)</f>
        <v/>
      </c>
    </row>
    <row r="35" customFormat="false" ht="15" hidden="false" customHeight="true" outlineLevel="0" collapsed="false">
      <c r="A35" s="11"/>
      <c r="B35" s="10"/>
      <c r="C35" s="10"/>
      <c r="D35" s="10"/>
      <c r="E35" s="49"/>
      <c r="F35" s="46" t="str">
        <f aca="false">IF(E35="","",E35*$L$4+D35*$L$5)</f>
        <v/>
      </c>
      <c r="G35" s="49"/>
      <c r="H35" s="46" t="str">
        <f aca="false">IF(E35="","",E35-F35-G35)</f>
        <v/>
      </c>
      <c r="I35" s="47" t="str">
        <f aca="false">IF(OR(B35="",B35=0),"",D35/B35)</f>
        <v/>
      </c>
    </row>
    <row r="36" customFormat="false" ht="15" hidden="false" customHeight="true" outlineLevel="0" collapsed="false">
      <c r="A36" s="11"/>
      <c r="B36" s="10"/>
      <c r="C36" s="10"/>
      <c r="D36" s="10"/>
      <c r="E36" s="49"/>
      <c r="F36" s="46" t="str">
        <f aca="false">IF(E36="","",E36*$L$4+D36*$L$5)</f>
        <v/>
      </c>
      <c r="G36" s="49"/>
      <c r="H36" s="46" t="str">
        <f aca="false">IF(E36="","",E36-F36-G36)</f>
        <v/>
      </c>
      <c r="I36" s="47" t="str">
        <f aca="false">IF(OR(B36="",B36=0),"",D36/B36)</f>
        <v/>
      </c>
    </row>
    <row r="37" customFormat="false" ht="15" hidden="false" customHeight="true" outlineLevel="0" collapsed="false">
      <c r="A37" s="11"/>
      <c r="B37" s="10"/>
      <c r="C37" s="10"/>
      <c r="D37" s="10"/>
      <c r="E37" s="49"/>
      <c r="F37" s="46" t="str">
        <f aca="false">IF(E37="","",E37*$L$4+D37*$L$5)</f>
        <v/>
      </c>
      <c r="G37" s="49"/>
      <c r="H37" s="46" t="str">
        <f aca="false">IF(E37="","",E37-F37-G37)</f>
        <v/>
      </c>
      <c r="I37" s="47" t="str">
        <f aca="false">IF(OR(B37="",B37=0),"",D37/B37)</f>
        <v/>
      </c>
    </row>
    <row r="38" customFormat="false" ht="15" hidden="false" customHeight="true" outlineLevel="0" collapsed="false">
      <c r="A38" s="11"/>
      <c r="B38" s="10"/>
      <c r="C38" s="10"/>
      <c r="D38" s="10"/>
      <c r="E38" s="49"/>
      <c r="F38" s="46" t="str">
        <f aca="false">IF(E38="","",E38*$L$4+D38*$L$5)</f>
        <v/>
      </c>
      <c r="G38" s="49"/>
      <c r="H38" s="46" t="str">
        <f aca="false">IF(E38="","",E38-F38-G38)</f>
        <v/>
      </c>
      <c r="I38" s="47" t="str">
        <f aca="false">IF(OR(B38="",B38=0),"",D38/B38)</f>
        <v/>
      </c>
    </row>
    <row r="39" customFormat="false" ht="15" hidden="false" customHeight="true" outlineLevel="0" collapsed="false">
      <c r="A39" s="11"/>
      <c r="B39" s="10"/>
      <c r="C39" s="10"/>
      <c r="D39" s="10"/>
      <c r="E39" s="49"/>
      <c r="F39" s="46" t="str">
        <f aca="false">IF(E39="","",E39*$L$4+D39*$L$5)</f>
        <v/>
      </c>
      <c r="G39" s="49"/>
      <c r="H39" s="46" t="str">
        <f aca="false">IF(E39="","",E39-F39-G39)</f>
        <v/>
      </c>
      <c r="I39" s="47" t="str">
        <f aca="false">IF(OR(B39="",B39=0),"",D39/B39)</f>
        <v/>
      </c>
    </row>
    <row r="40" customFormat="false" ht="15" hidden="false" customHeight="true" outlineLevel="0" collapsed="false">
      <c r="A40" s="11"/>
      <c r="B40" s="10"/>
      <c r="C40" s="10"/>
      <c r="D40" s="10"/>
      <c r="E40" s="49"/>
      <c r="F40" s="46" t="str">
        <f aca="false">IF(E40="","",E40*$L$4+D40*$L$5)</f>
        <v/>
      </c>
      <c r="G40" s="49"/>
      <c r="H40" s="46" t="str">
        <f aca="false">IF(E40="","",E40-F40-G40)</f>
        <v/>
      </c>
      <c r="I40" s="47" t="str">
        <f aca="false">IF(OR(B40="",B40=0),"",D40/B40)</f>
        <v/>
      </c>
    </row>
    <row r="41" customFormat="false" ht="15" hidden="false" customHeight="true" outlineLevel="0" collapsed="false">
      <c r="A41" s="11"/>
      <c r="B41" s="10"/>
      <c r="C41" s="10"/>
      <c r="D41" s="10"/>
      <c r="E41" s="49"/>
      <c r="F41" s="46" t="str">
        <f aca="false">IF(E41="","",E41*$L$4+D41*$L$5)</f>
        <v/>
      </c>
      <c r="G41" s="49"/>
      <c r="H41" s="46" t="str">
        <f aca="false">IF(E41="","",E41-F41-G41)</f>
        <v/>
      </c>
      <c r="I41" s="47" t="str">
        <f aca="false">IF(OR(B41="",B41=0),"",D41/B41)</f>
        <v/>
      </c>
    </row>
    <row r="42" customFormat="false" ht="15" hidden="false" customHeight="true" outlineLevel="0" collapsed="false">
      <c r="A42" s="11"/>
      <c r="B42" s="10"/>
      <c r="C42" s="10"/>
      <c r="D42" s="10"/>
      <c r="E42" s="49"/>
      <c r="F42" s="46" t="str">
        <f aca="false">IF(E42="","",E42*$L$4+D42*$L$5)</f>
        <v/>
      </c>
      <c r="G42" s="49"/>
      <c r="H42" s="46" t="str">
        <f aca="false">IF(E42="","",E42-F42-G42)</f>
        <v/>
      </c>
      <c r="I42" s="47" t="str">
        <f aca="false">IF(OR(B42="",B42=0),"",D42/B42)</f>
        <v/>
      </c>
    </row>
    <row r="43" customFormat="false" ht="15" hidden="false" customHeight="true" outlineLevel="0" collapsed="false">
      <c r="A43" s="11"/>
      <c r="B43" s="10"/>
      <c r="C43" s="10"/>
      <c r="D43" s="10"/>
      <c r="E43" s="49"/>
      <c r="F43" s="46" t="str">
        <f aca="false">IF(E43="","",E43*$L$4+D43*$L$5)</f>
        <v/>
      </c>
      <c r="G43" s="49"/>
      <c r="H43" s="46" t="str">
        <f aca="false">IF(E43="","",E43-F43-G43)</f>
        <v/>
      </c>
      <c r="I43" s="47" t="str">
        <f aca="false">IF(OR(B43="",B43=0),"",D43/B43)</f>
        <v/>
      </c>
    </row>
    <row r="44" customFormat="false" ht="15" hidden="false" customHeight="true" outlineLevel="0" collapsed="false">
      <c r="A44" s="11"/>
      <c r="B44" s="10"/>
      <c r="C44" s="10"/>
      <c r="D44" s="10"/>
      <c r="E44" s="49"/>
      <c r="F44" s="46" t="str">
        <f aca="false">IF(E44="","",E44*$L$4+D44*$L$5)</f>
        <v/>
      </c>
      <c r="G44" s="49"/>
      <c r="H44" s="46" t="str">
        <f aca="false">IF(E44="","",E44-F44-G44)</f>
        <v/>
      </c>
      <c r="I44" s="47" t="str">
        <f aca="false">IF(OR(B44="",B44=0),"",D44/B44)</f>
        <v/>
      </c>
    </row>
    <row r="45" customFormat="false" ht="15" hidden="false" customHeight="true" outlineLevel="0" collapsed="false">
      <c r="A45" s="11"/>
      <c r="B45" s="10"/>
      <c r="C45" s="10"/>
      <c r="D45" s="10"/>
      <c r="E45" s="49"/>
      <c r="F45" s="46" t="str">
        <f aca="false">IF(E45="","",E45*$L$4+D45*$L$5)</f>
        <v/>
      </c>
      <c r="G45" s="49"/>
      <c r="H45" s="46" t="str">
        <f aca="false">IF(E45="","",E45-F45-G45)</f>
        <v/>
      </c>
      <c r="I45" s="47" t="str">
        <f aca="false">IF(OR(B45="",B45=0),"",D45/B45)</f>
        <v/>
      </c>
    </row>
    <row r="46" customFormat="false" ht="15" hidden="false" customHeight="true" outlineLevel="0" collapsed="false">
      <c r="A46" s="11"/>
      <c r="B46" s="10"/>
      <c r="C46" s="10"/>
      <c r="D46" s="10"/>
      <c r="E46" s="49"/>
      <c r="F46" s="46" t="str">
        <f aca="false">IF(E46="","",E46*$L$4+D46*$L$5)</f>
        <v/>
      </c>
      <c r="G46" s="49"/>
      <c r="H46" s="46" t="str">
        <f aca="false">IF(E46="","",E46-F46-G46)</f>
        <v/>
      </c>
      <c r="I46" s="47" t="str">
        <f aca="false">IF(OR(B46="",B46=0),"",D46/B46)</f>
        <v/>
      </c>
    </row>
    <row r="47" customFormat="false" ht="15" hidden="false" customHeight="true" outlineLevel="0" collapsed="false">
      <c r="A47" s="11"/>
      <c r="B47" s="10"/>
      <c r="C47" s="10"/>
      <c r="D47" s="10"/>
      <c r="E47" s="49"/>
      <c r="F47" s="46" t="str">
        <f aca="false">IF(E47="","",E47*$L$4+D47*$L$5)</f>
        <v/>
      </c>
      <c r="G47" s="49"/>
      <c r="H47" s="46" t="str">
        <f aca="false">IF(E47="","",E47-F47-G47)</f>
        <v/>
      </c>
      <c r="I47" s="47" t="str">
        <f aca="false">IF(OR(B47="",B47=0),"",D47/B47)</f>
        <v/>
      </c>
    </row>
    <row r="48" customFormat="false" ht="15" hidden="false" customHeight="true" outlineLevel="0" collapsed="false">
      <c r="A48" s="11"/>
      <c r="B48" s="10"/>
      <c r="C48" s="10"/>
      <c r="D48" s="10"/>
      <c r="E48" s="49"/>
      <c r="F48" s="46" t="str">
        <f aca="false">IF(E48="","",E48*$L$4+D48*$L$5)</f>
        <v/>
      </c>
      <c r="G48" s="49"/>
      <c r="H48" s="46" t="str">
        <f aca="false">IF(E48="","",E48-F48-G48)</f>
        <v/>
      </c>
      <c r="I48" s="47" t="str">
        <f aca="false">IF(OR(B48="",B48=0),"",D48/B48)</f>
        <v/>
      </c>
    </row>
    <row r="49" customFormat="false" ht="15" hidden="false" customHeight="true" outlineLevel="0" collapsed="false">
      <c r="A49" s="11"/>
      <c r="B49" s="10"/>
      <c r="C49" s="10"/>
      <c r="D49" s="10"/>
      <c r="E49" s="49"/>
      <c r="F49" s="46" t="str">
        <f aca="false">IF(E49="","",E49*$L$4+D49*$L$5)</f>
        <v/>
      </c>
      <c r="G49" s="49"/>
      <c r="H49" s="46" t="str">
        <f aca="false">IF(E49="","",E49-F49-G49)</f>
        <v/>
      </c>
      <c r="I49" s="47" t="str">
        <f aca="false">IF(OR(B49="",B49=0),"",D49/B49)</f>
        <v/>
      </c>
    </row>
    <row r="50" customFormat="false" ht="15" hidden="false" customHeight="true" outlineLevel="0" collapsed="false">
      <c r="A50" s="11"/>
      <c r="B50" s="10"/>
      <c r="C50" s="10"/>
      <c r="D50" s="10"/>
      <c r="E50" s="49"/>
      <c r="F50" s="46" t="str">
        <f aca="false">IF(E50="","",E50*$L$4+D50*$L$5)</f>
        <v/>
      </c>
      <c r="G50" s="49"/>
      <c r="H50" s="46" t="str">
        <f aca="false">IF(E50="","",E50-F50-G50)</f>
        <v/>
      </c>
      <c r="I50" s="47" t="str">
        <f aca="false">IF(OR(B50="",B50=0),"",D50/B50)</f>
        <v/>
      </c>
    </row>
    <row r="51" customFormat="false" ht="15" hidden="false" customHeight="true" outlineLevel="0" collapsed="false">
      <c r="A51" s="11"/>
      <c r="B51" s="10"/>
      <c r="C51" s="10"/>
      <c r="D51" s="10"/>
      <c r="E51" s="49"/>
      <c r="F51" s="46" t="str">
        <f aca="false">IF(E51="","",E51*$L$4+D51*$L$5)</f>
        <v/>
      </c>
      <c r="G51" s="49"/>
      <c r="H51" s="46" t="str">
        <f aca="false">IF(E51="","",E51-F51-G51)</f>
        <v/>
      </c>
      <c r="I51" s="47" t="str">
        <f aca="false">IF(OR(B51="",B51=0),"",D51/B51)</f>
        <v/>
      </c>
    </row>
    <row r="52" customFormat="false" ht="15" hidden="false" customHeight="true" outlineLevel="0" collapsed="false">
      <c r="A52" s="11"/>
      <c r="B52" s="10"/>
      <c r="C52" s="10"/>
      <c r="D52" s="10"/>
      <c r="E52" s="49"/>
      <c r="F52" s="46" t="str">
        <f aca="false">IF(E52="","",E52*$L$4+D52*$L$5)</f>
        <v/>
      </c>
      <c r="G52" s="49"/>
      <c r="H52" s="46" t="str">
        <f aca="false">IF(E52="","",E52-F52-G52)</f>
        <v/>
      </c>
      <c r="I52" s="47" t="str">
        <f aca="false">IF(OR(B52="",B52=0),"",D52/B52)</f>
        <v/>
      </c>
    </row>
    <row r="53" customFormat="false" ht="15" hidden="false" customHeight="true" outlineLevel="0" collapsed="false">
      <c r="A53" s="11"/>
      <c r="B53" s="10"/>
      <c r="C53" s="10"/>
      <c r="D53" s="10"/>
      <c r="E53" s="49"/>
      <c r="F53" s="46" t="str">
        <f aca="false">IF(E53="","",E53*$L$4+D53*$L$5)</f>
        <v/>
      </c>
      <c r="G53" s="49"/>
      <c r="H53" s="46" t="str">
        <f aca="false">IF(E53="","",E53-F53-G53)</f>
        <v/>
      </c>
      <c r="I53" s="47" t="str">
        <f aca="false">IF(OR(B53="",B53=0),"",D53/B53)</f>
        <v/>
      </c>
    </row>
    <row r="54" customFormat="false" ht="15" hidden="false" customHeight="true" outlineLevel="0" collapsed="false">
      <c r="A54" s="11"/>
      <c r="B54" s="10"/>
      <c r="C54" s="10"/>
      <c r="D54" s="10"/>
      <c r="E54" s="49"/>
      <c r="F54" s="46" t="str">
        <f aca="false">IF(E54="","",E54*$L$4+D54*$L$5)</f>
        <v/>
      </c>
      <c r="G54" s="49"/>
      <c r="H54" s="46" t="str">
        <f aca="false">IF(E54="","",E54-F54-G54)</f>
        <v/>
      </c>
      <c r="I54" s="47" t="str">
        <f aca="false">IF(OR(B54="",B54=0),"",D54/B54)</f>
        <v/>
      </c>
    </row>
    <row r="55" customFormat="false" ht="15" hidden="false" customHeight="true" outlineLevel="0" collapsed="false">
      <c r="A55" s="11"/>
      <c r="B55" s="10"/>
      <c r="C55" s="10"/>
      <c r="D55" s="10"/>
      <c r="E55" s="49"/>
      <c r="F55" s="46" t="str">
        <f aca="false">IF(E55="","",E55*$L$4+D55*$L$5)</f>
        <v/>
      </c>
      <c r="G55" s="49"/>
      <c r="H55" s="46" t="str">
        <f aca="false">IF(E55="","",E55-F55-G55)</f>
        <v/>
      </c>
      <c r="I55" s="47" t="str">
        <f aca="false">IF(OR(B55="",B55=0),"",D55/B55)</f>
        <v/>
      </c>
    </row>
    <row r="56" customFormat="false" ht="15" hidden="false" customHeight="true" outlineLevel="0" collapsed="false">
      <c r="A56" s="11"/>
      <c r="B56" s="10"/>
      <c r="C56" s="10"/>
      <c r="D56" s="10"/>
      <c r="E56" s="49"/>
      <c r="F56" s="46" t="str">
        <f aca="false">IF(E56="","",E56*$L$4+D56*$L$5)</f>
        <v/>
      </c>
      <c r="G56" s="49"/>
      <c r="H56" s="46" t="str">
        <f aca="false">IF(E56="","",E56-F56-G56)</f>
        <v/>
      </c>
      <c r="I56" s="47" t="str">
        <f aca="false">IF(OR(B56="",B56=0),"",D56/B56)</f>
        <v/>
      </c>
    </row>
    <row r="58" customFormat="false" ht="15" hidden="false" customHeight="true" outlineLevel="0" collapsed="false">
      <c r="A58" s="4" t="s">
        <v>174</v>
      </c>
      <c r="B58" s="4" t="n">
        <f aca="false">SUM(B5:B56)</f>
        <v>120</v>
      </c>
      <c r="C58" s="4" t="n">
        <f aca="false">SUM(C5:C56)</f>
        <v>9</v>
      </c>
      <c r="D58" s="4" t="n">
        <f aca="false">SUM(D5:D56)</f>
        <v>1</v>
      </c>
      <c r="E58" s="50" t="n">
        <f aca="false">SUM(E5:E56)</f>
        <v>12</v>
      </c>
      <c r="F58" s="50" t="n">
        <f aca="false">SUM(F5:F56)</f>
        <v>1.56</v>
      </c>
      <c r="G58" s="50" t="n">
        <f aca="false">SUM(G5:G56)</f>
        <v>7</v>
      </c>
      <c r="H58" s="50" t="n">
        <f aca="false">SUM(H5:H56)</f>
        <v>3.44</v>
      </c>
      <c r="I58" s="51" t="n">
        <f aca="false">IF(B58=0,"",D58/B58)</f>
        <v>0.00833333333333333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2026-10-25T19:14:00Z</dcterms:created>
  <dc:creator>openpyxl</dc:creator>
  <dc:description/>
  <dc:language>en-US</dc:language>
  <cp:lastModifiedBy/>
  <dcterms:modified xsi:type="dcterms:W3CDTF">2026-10-25T19:18:57Z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